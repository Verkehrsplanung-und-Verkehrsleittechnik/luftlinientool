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128405\Desktop\Software\Luftlinientool\Luftlinientool2022\"/>
    </mc:Choice>
  </mc:AlternateContent>
  <xr:revisionPtr revIDLastSave="0" documentId="13_ncr:1_{A9493E96-C282-4898-9465-801F5A9D723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60" i="1"/>
  <c r="B54" i="1"/>
  <c r="B53" i="1"/>
  <c r="B52" i="1"/>
  <c r="B51" i="1"/>
  <c r="B57" i="1"/>
  <c r="B58" i="1"/>
  <c r="B59" i="1"/>
  <c r="B61" i="1"/>
  <c r="B56" i="1"/>
  <c r="B5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33" i="1"/>
  <c r="B32" i="1"/>
  <c r="B31" i="1"/>
  <c r="B29" i="1"/>
  <c r="B30" i="1"/>
  <c r="B28" i="1"/>
  <c r="B27" i="1"/>
  <c r="B26" i="1"/>
  <c r="B25" i="1"/>
  <c r="B24" i="1"/>
  <c r="B23" i="1"/>
  <c r="B22" i="1"/>
  <c r="B21" i="1"/>
  <c r="B18" i="1"/>
  <c r="B12" i="1"/>
  <c r="B10" i="1"/>
  <c r="B9" i="1"/>
  <c r="B8" i="1"/>
  <c r="B7" i="1"/>
  <c r="B4" i="1"/>
</calcChain>
</file>

<file path=xl/sharedStrings.xml><?xml version="1.0" encoding="utf-8"?>
<sst xmlns="http://schemas.openxmlformats.org/spreadsheetml/2006/main" count="140" uniqueCount="72">
  <si>
    <t>en</t>
  </si>
  <si>
    <t>de</t>
  </si>
  <si>
    <t>Erstellen von Verbindungsfunktionsstufen-Luftliniennetzen</t>
  </si>
  <si>
    <t>Daten einlesen</t>
  </si>
  <si>
    <t>Defaultwerte übernehmen</t>
  </si>
  <si>
    <t>Info</t>
  </si>
  <si>
    <t>Auswahl</t>
  </si>
  <si>
    <t>Main</t>
  </si>
  <si>
    <t>Log</t>
  </si>
  <si>
    <t>Parameter Eingaben</t>
  </si>
  <si>
    <t>Bezirksattribut \nZentralität</t>
  </si>
  <si>
    <t>District Attribute \ncentrallity</t>
  </si>
  <si>
    <t>Berechnung durchführen</t>
  </si>
  <si>
    <t>Berechnungen zurücksetzen</t>
  </si>
  <si>
    <t>Defaultwerte</t>
  </si>
  <si>
    <t>Filter: eingefügte Strecken</t>
  </si>
  <si>
    <t>Löschen: eingefügte Strecken</t>
  </si>
  <si>
    <t>VFS 0</t>
  </si>
  <si>
    <t>VFS 1</t>
  </si>
  <si>
    <t>VFS 2</t>
  </si>
  <si>
    <t>VFS 3</t>
  </si>
  <si>
    <t>VFS 4</t>
  </si>
  <si>
    <t>VFS 5</t>
  </si>
  <si>
    <t>Default-Werte hergestellt</t>
  </si>
  <si>
    <t>sollte nie passieren</t>
  </si>
  <si>
    <t>Umgang mit Nichtvisum Dateien ist nicht implementiert</t>
  </si>
  <si>
    <t>Attribut übernommen, Bezirke neu importiert, Rechnungen zurückgesetzt</t>
  </si>
  <si>
    <t>Berechnung durchgeführt</t>
  </si>
  <si>
    <t>Daten importiert</t>
  </si>
  <si>
    <t>Ergebnisse gelöscht, ggf Ergebnisse neu nach Visum importieren</t>
  </si>
  <si>
    <t>aktuelle Settings</t>
  </si>
  <si>
    <t>Bezirke: Attr. Zentralität</t>
  </si>
  <si>
    <t>Attr istQuelle</t>
  </si>
  <si>
    <t>Attr istZeil</t>
  </si>
  <si>
    <t>Distanzberechnung</t>
  </si>
  <si>
    <t>Nachbarschaftsgrad je VFS</t>
  </si>
  <si>
    <t>Anzahl Versorger je VFS</t>
  </si>
  <si>
    <t>Bezirksattribut</t>
  </si>
  <si>
    <t>Zentralität</t>
  </si>
  <si>
    <t>ist Quelle</t>
  </si>
  <si>
    <t>ist Ziel</t>
  </si>
  <si>
    <t>Verbindungsfunktionsstufe</t>
  </si>
  <si>
    <t>Attributwert VFS</t>
  </si>
  <si>
    <t>Austauschfunktion</t>
  </si>
  <si>
    <t>f'die kombinierten Ergebnisse wurden in Visum importiert</t>
  </si>
  <si>
    <t>n-naechste Nachbarn</t>
  </si>
  <si>
    <t>Versorgungsfunktion</t>
  </si>
  <si>
    <t>anlegen in Visum als</t>
  </si>
  <si>
    <t>Import nach Visum alle VFS</t>
  </si>
  <si>
    <t>Strecken + Mtx</t>
  </si>
  <si>
    <t>Import to Visum all CFL</t>
  </si>
  <si>
    <t>Routes + Mtx</t>
  </si>
  <si>
    <t>n Versorgungszentren</t>
  </si>
  <si>
    <t>Versiondateien</t>
  </si>
  <si>
    <t>Net-Datei exportiert und in Visum importiert</t>
  </si>
  <si>
    <t>Matrix in Visum geladen</t>
  </si>
  <si>
    <t>app_title</t>
  </si>
  <si>
    <t>Filter: Inserted Links</t>
  </si>
  <si>
    <t>Delete: Inserted Links</t>
  </si>
  <si>
    <t>Log-Messages</t>
  </si>
  <si>
    <t>logging</t>
  </si>
  <si>
    <t>file_selection</t>
  </si>
  <si>
    <t>Choose a VISUM model</t>
  </si>
  <si>
    <t>Wähle ein VISUM Modell</t>
  </si>
  <si>
    <t>ver_files</t>
  </si>
  <si>
    <t>VISUM version files</t>
  </si>
  <si>
    <t>Language Choice</t>
  </si>
  <si>
    <t>Sprachauswahl</t>
  </si>
  <si>
    <t>language_choice</t>
  </si>
  <si>
    <t>language_choice_title</t>
  </si>
  <si>
    <t>Select your preferred language</t>
  </si>
  <si>
    <t>Wähle die gewünschte Sprache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</si>
</sst>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3" fillId="0" borderId="0" xfId="0" applyFont="1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ni-stuttgart.de\isv20\shared\Hiwis\Mahfouz_Ali\03_Arbeitsplatz\Gloss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le1"/>
      <sheetName val="Tabelle2"/>
    </sheetNames>
    <sheetDataSet>
      <sheetData sheetId="0">
        <row r="13">
          <cell r="B13" t="str">
            <v>Default Values</v>
          </cell>
        </row>
      </sheetData>
      <sheetData sheetId="1">
        <row r="3">
          <cell r="B3" t="str">
            <v>Choose a visum network</v>
          </cell>
        </row>
        <row r="5">
          <cell r="B5" t="str">
            <v>Connectivity Function Level -  Direct distance Net Creation</v>
          </cell>
        </row>
        <row r="6">
          <cell r="B6" t="str">
            <v>Import Data</v>
          </cell>
        </row>
        <row r="7">
          <cell r="B7" t="str">
            <v>Perform Calculation</v>
          </cell>
        </row>
        <row r="8">
          <cell r="B8" t="str">
            <v>Reset Calculation</v>
          </cell>
        </row>
        <row r="9">
          <cell r="B9" t="str">
            <v>Set Default Values</v>
          </cell>
        </row>
        <row r="10">
          <cell r="B10" t="str">
            <v>Options</v>
          </cell>
        </row>
        <row r="13">
          <cell r="B13" t="str">
            <v>CFL 0</v>
          </cell>
        </row>
        <row r="14">
          <cell r="B14" t="str">
            <v>CFL 1</v>
          </cell>
        </row>
        <row r="15">
          <cell r="B15" t="str">
            <v>CFL 2</v>
          </cell>
        </row>
        <row r="16">
          <cell r="B16" t="str">
            <v>CFL 3</v>
          </cell>
        </row>
        <row r="17">
          <cell r="B17" t="str">
            <v>CFL 4</v>
          </cell>
        </row>
        <row r="18">
          <cell r="B18" t="str">
            <v>CFL 5</v>
          </cell>
        </row>
        <row r="19">
          <cell r="B19" t="str">
            <v>Set Default Values</v>
          </cell>
        </row>
        <row r="23">
          <cell r="B23" t="str">
            <v>should never happen</v>
          </cell>
        </row>
        <row r="24">
          <cell r="B24" t="str">
            <v>Handling of non-visum files is not implemented</v>
          </cell>
        </row>
        <row r="25">
          <cell r="B25" t="str">
            <v>Attribute transferred, new districts imported, Calculations reset</v>
          </cell>
        </row>
        <row r="26">
          <cell r="B26" t="str">
            <v>Calculation Performed</v>
          </cell>
        </row>
        <row r="27">
          <cell r="B27" t="str">
            <v>Data imported</v>
          </cell>
        </row>
        <row r="28">
          <cell r="B28" t="str">
            <v>Results deleted, re-import Results to visum if necessary</v>
          </cell>
        </row>
        <row r="29">
          <cell r="B29" t="str">
            <v>Network file exported and imported into Visum</v>
          </cell>
        </row>
        <row r="30">
          <cell r="B30" t="str">
            <v>Matrix Loaded to Visum</v>
          </cell>
        </row>
        <row r="31">
          <cell r="B31" t="str">
            <v>The combined Results were imported into Visum</v>
          </cell>
        </row>
        <row r="32">
          <cell r="B32" t="str">
            <v>Current Settings</v>
          </cell>
        </row>
        <row r="33">
          <cell r="B33" t="str">
            <v>Districts: Attr. Centrality</v>
          </cell>
        </row>
        <row r="34">
          <cell r="B34" t="str">
            <v>Attr isOrigin</v>
          </cell>
        </row>
        <row r="35">
          <cell r="B35" t="str">
            <v>Attr isDestination</v>
          </cell>
        </row>
        <row r="36">
          <cell r="B36" t="str">
            <v>Distance calculation</v>
          </cell>
        </row>
        <row r="37">
          <cell r="B37" t="str">
            <v>Neighbourhood level per CFL</v>
          </cell>
        </row>
        <row r="38">
          <cell r="B38" t="str">
            <v>Number of Suppliers per CFL</v>
          </cell>
        </row>
        <row r="39">
          <cell r="B39" t="str">
            <v>District Attribute</v>
          </cell>
        </row>
        <row r="40">
          <cell r="B40" t="str">
            <v>Centrality</v>
          </cell>
        </row>
        <row r="41">
          <cell r="B41" t="str">
            <v>is Origin</v>
          </cell>
        </row>
        <row r="42">
          <cell r="B42" t="str">
            <v>is Destination</v>
          </cell>
        </row>
        <row r="43">
          <cell r="B43" t="str">
            <v>Connectivity Function Level</v>
          </cell>
        </row>
        <row r="44">
          <cell r="B44" t="str">
            <v>Attribute value CFL</v>
          </cell>
        </row>
        <row r="45">
          <cell r="B45" t="str">
            <v>Interchange function</v>
          </cell>
        </row>
        <row r="46">
          <cell r="B46" t="str">
            <v>n-Nearest Neighbour</v>
          </cell>
        </row>
        <row r="47">
          <cell r="B47" t="str">
            <v>Supply function</v>
          </cell>
        </row>
        <row r="48">
          <cell r="B48" t="str">
            <v>Supply Centers</v>
          </cell>
        </row>
        <row r="49">
          <cell r="B49" t="str">
            <v>Create in Visum as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>
      <selection activeCell="B17" sqref="B17"/>
    </sheetView>
  </sheetViews>
  <sheetFormatPr baseColWidth="10" defaultColWidth="9.140625" defaultRowHeight="15" x14ac:dyDescent="0.25"/>
  <cols>
    <col min="1" max="1" width="29.140625" style="6" customWidth="1"/>
    <col min="2" max="2" width="56.140625" bestFit="1" customWidth="1"/>
    <col min="3" max="3" width="55.42578125" bestFit="1" customWidth="1"/>
  </cols>
  <sheetData>
    <row r="1" spans="1:3" x14ac:dyDescent="0.25">
      <c r="A1" s="4"/>
      <c r="B1" s="1" t="s">
        <v>0</v>
      </c>
      <c r="C1" s="1" t="s">
        <v>1</v>
      </c>
    </row>
    <row r="2" spans="1:3" x14ac:dyDescent="0.25">
      <c r="A2" s="5" t="s">
        <v>61</v>
      </c>
      <c r="B2" s="3" t="s">
        <v>62</v>
      </c>
      <c r="C2" t="s">
        <v>63</v>
      </c>
    </row>
    <row r="3" spans="1:3" x14ac:dyDescent="0.25">
      <c r="A3" s="5" t="s">
        <v>64</v>
      </c>
      <c r="B3" s="3" t="s">
        <v>65</v>
      </c>
      <c r="C3" t="s">
        <v>53</v>
      </c>
    </row>
    <row r="4" spans="1:3" x14ac:dyDescent="0.25">
      <c r="A4" s="5" t="s">
        <v>56</v>
      </c>
      <c r="B4" t="str">
        <f>[1]Tabelle2!$B$5</f>
        <v>Connectivity Function Level -  Direct distance Net Creation</v>
      </c>
      <c r="C4" t="s">
        <v>2</v>
      </c>
    </row>
    <row r="5" spans="1:3" x14ac:dyDescent="0.25">
      <c r="A5" s="5" t="s">
        <v>68</v>
      </c>
      <c r="B5" s="3" t="s">
        <v>66</v>
      </c>
      <c r="C5" s="3" t="s">
        <v>67</v>
      </c>
    </row>
    <row r="6" spans="1:3" x14ac:dyDescent="0.25">
      <c r="A6" s="5" t="s">
        <v>69</v>
      </c>
      <c r="B6" s="3" t="s">
        <v>70</v>
      </c>
      <c r="C6" s="3" t="s">
        <v>71</v>
      </c>
    </row>
    <row r="7" spans="1:3" x14ac:dyDescent="0.25">
      <c r="A7" s="4" t="s">
        <v>3</v>
      </c>
      <c r="B7" t="str">
        <f>[1]Tabelle2!$B$6</f>
        <v>Import Data</v>
      </c>
      <c r="C7" t="s">
        <v>3</v>
      </c>
    </row>
    <row r="8" spans="1:3" x14ac:dyDescent="0.25">
      <c r="A8" s="4" t="s">
        <v>12</v>
      </c>
      <c r="B8" t="str">
        <f>[1]Tabelle2!$B$7</f>
        <v>Perform Calculation</v>
      </c>
      <c r="C8" t="s">
        <v>12</v>
      </c>
    </row>
    <row r="9" spans="1:3" x14ac:dyDescent="0.25">
      <c r="A9" s="4" t="s">
        <v>13</v>
      </c>
      <c r="B9" t="str">
        <f>[1]Tabelle2!$B$8</f>
        <v>Reset Calculation</v>
      </c>
      <c r="C9" t="s">
        <v>13</v>
      </c>
    </row>
    <row r="10" spans="1:3" x14ac:dyDescent="0.25">
      <c r="A10" s="4" t="s">
        <v>4</v>
      </c>
      <c r="B10" t="str">
        <f>[1]Tabelle2!$B$9</f>
        <v>Set Default Values</v>
      </c>
      <c r="C10" t="s">
        <v>4</v>
      </c>
    </row>
    <row r="11" spans="1:3" x14ac:dyDescent="0.25">
      <c r="A11" s="4" t="s">
        <v>5</v>
      </c>
      <c r="B11" t="s">
        <v>5</v>
      </c>
      <c r="C11" t="s">
        <v>5</v>
      </c>
    </row>
    <row r="12" spans="1:3" x14ac:dyDescent="0.25">
      <c r="A12" s="4" t="s">
        <v>6</v>
      </c>
      <c r="B12" t="str">
        <f>[1]Tabelle2!$B$10</f>
        <v>Options</v>
      </c>
      <c r="C12" t="s">
        <v>6</v>
      </c>
    </row>
    <row r="13" spans="1:3" x14ac:dyDescent="0.25">
      <c r="A13" s="4" t="s">
        <v>7</v>
      </c>
      <c r="B13" t="s">
        <v>7</v>
      </c>
      <c r="C13" t="s">
        <v>7</v>
      </c>
    </row>
    <row r="14" spans="1:3" x14ac:dyDescent="0.25">
      <c r="A14" s="4" t="s">
        <v>8</v>
      </c>
      <c r="B14" t="s">
        <v>8</v>
      </c>
      <c r="C14" t="s">
        <v>8</v>
      </c>
    </row>
    <row r="15" spans="1:3" x14ac:dyDescent="0.25">
      <c r="A15" s="4" t="s">
        <v>9</v>
      </c>
      <c r="B15" t="s">
        <v>9</v>
      </c>
      <c r="C15" t="s">
        <v>9</v>
      </c>
    </row>
    <row r="16" spans="1:3" x14ac:dyDescent="0.25">
      <c r="A16" s="4" t="s">
        <v>10</v>
      </c>
      <c r="B16" t="s">
        <v>11</v>
      </c>
      <c r="C16" t="s">
        <v>10</v>
      </c>
    </row>
    <row r="17" spans="1:3" x14ac:dyDescent="0.25">
      <c r="A17" s="5" t="s">
        <v>60</v>
      </c>
      <c r="B17" s="3" t="s">
        <v>59</v>
      </c>
      <c r="C17" s="3" t="s">
        <v>59</v>
      </c>
    </row>
    <row r="18" spans="1:3" x14ac:dyDescent="0.25">
      <c r="A18" s="4" t="s">
        <v>14</v>
      </c>
      <c r="B18" t="str">
        <f>[1]Tabelle1!$B$13</f>
        <v>Default Values</v>
      </c>
      <c r="C18" t="s">
        <v>14</v>
      </c>
    </row>
    <row r="19" spans="1:3" x14ac:dyDescent="0.25">
      <c r="A19" s="4" t="s">
        <v>15</v>
      </c>
      <c r="B19" s="3" t="s">
        <v>57</v>
      </c>
      <c r="C19" t="s">
        <v>15</v>
      </c>
    </row>
    <row r="20" spans="1:3" x14ac:dyDescent="0.25">
      <c r="A20" s="4" t="s">
        <v>16</v>
      </c>
      <c r="B20" s="3" t="s">
        <v>58</v>
      </c>
      <c r="C20" t="s">
        <v>16</v>
      </c>
    </row>
    <row r="21" spans="1:3" x14ac:dyDescent="0.25">
      <c r="A21" s="4" t="s">
        <v>17</v>
      </c>
      <c r="B21" t="str">
        <f>[1]Tabelle2!$B$13</f>
        <v>CFL 0</v>
      </c>
      <c r="C21" t="s">
        <v>17</v>
      </c>
    </row>
    <row r="22" spans="1:3" x14ac:dyDescent="0.25">
      <c r="A22" s="4" t="s">
        <v>18</v>
      </c>
      <c r="B22" t="str">
        <f>[1]Tabelle2!$B$14</f>
        <v>CFL 1</v>
      </c>
      <c r="C22" t="s">
        <v>18</v>
      </c>
    </row>
    <row r="23" spans="1:3" x14ac:dyDescent="0.25">
      <c r="A23" s="4" t="s">
        <v>19</v>
      </c>
      <c r="B23" t="str">
        <f>[1]Tabelle2!$B$15</f>
        <v>CFL 2</v>
      </c>
      <c r="C23" t="s">
        <v>19</v>
      </c>
    </row>
    <row r="24" spans="1:3" x14ac:dyDescent="0.25">
      <c r="A24" s="4" t="s">
        <v>20</v>
      </c>
      <c r="B24" t="str">
        <f>[1]Tabelle2!$B$16</f>
        <v>CFL 3</v>
      </c>
      <c r="C24" t="s">
        <v>20</v>
      </c>
    </row>
    <row r="25" spans="1:3" x14ac:dyDescent="0.25">
      <c r="A25" s="4" t="s">
        <v>21</v>
      </c>
      <c r="B25" t="str">
        <f>[1]Tabelle2!$B$17</f>
        <v>CFL 4</v>
      </c>
      <c r="C25" t="s">
        <v>21</v>
      </c>
    </row>
    <row r="26" spans="1:3" x14ac:dyDescent="0.25">
      <c r="A26" s="4" t="s">
        <v>22</v>
      </c>
      <c r="B26" t="str">
        <f>[1]Tabelle2!$B$18</f>
        <v>CFL 5</v>
      </c>
      <c r="C26" t="s">
        <v>22</v>
      </c>
    </row>
    <row r="27" spans="1:3" x14ac:dyDescent="0.25">
      <c r="A27" s="4" t="s">
        <v>23</v>
      </c>
      <c r="B27" t="str">
        <f>[1]Tabelle2!$B$19</f>
        <v>Set Default Values</v>
      </c>
      <c r="C27" t="s">
        <v>23</v>
      </c>
    </row>
    <row r="28" spans="1:3" x14ac:dyDescent="0.25">
      <c r="A28" s="4" t="s">
        <v>24</v>
      </c>
      <c r="B28" t="str">
        <f>[1]Tabelle2!$B$23</f>
        <v>should never happen</v>
      </c>
      <c r="C28" t="s">
        <v>24</v>
      </c>
    </row>
    <row r="29" spans="1:3" x14ac:dyDescent="0.25">
      <c r="A29" s="4" t="s">
        <v>25</v>
      </c>
      <c r="B29" t="str">
        <f>[1]Tabelle2!B24</f>
        <v>Handling of non-visum files is not implemented</v>
      </c>
      <c r="C29" t="s">
        <v>25</v>
      </c>
    </row>
    <row r="30" spans="1:3" ht="30" x14ac:dyDescent="0.25">
      <c r="A30" s="4" t="s">
        <v>26</v>
      </c>
      <c r="B30" t="str">
        <f>[1]Tabelle2!B25</f>
        <v>Attribute transferred, new districts imported, Calculations reset</v>
      </c>
      <c r="C30" t="s">
        <v>26</v>
      </c>
    </row>
    <row r="31" spans="1:3" x14ac:dyDescent="0.25">
      <c r="A31" s="4" t="s">
        <v>27</v>
      </c>
      <c r="B31" t="str">
        <f>[1]Tabelle2!$B$26</f>
        <v>Calculation Performed</v>
      </c>
      <c r="C31" t="s">
        <v>27</v>
      </c>
    </row>
    <row r="32" spans="1:3" x14ac:dyDescent="0.25">
      <c r="A32" s="4" t="s">
        <v>28</v>
      </c>
      <c r="B32" t="str">
        <f>[1]Tabelle2!$B$27</f>
        <v>Data imported</v>
      </c>
      <c r="C32" t="s">
        <v>28</v>
      </c>
    </row>
    <row r="33" spans="1:3" ht="30" x14ac:dyDescent="0.25">
      <c r="A33" s="4" t="s">
        <v>29</v>
      </c>
      <c r="B33" t="str">
        <f>[1]Tabelle2!$B28</f>
        <v>Results deleted, re-import Results to visum if necessary</v>
      </c>
      <c r="C33" t="s">
        <v>29</v>
      </c>
    </row>
    <row r="34" spans="1:3" x14ac:dyDescent="0.25">
      <c r="A34" s="4" t="s">
        <v>54</v>
      </c>
      <c r="B34" t="str">
        <f>[1]Tabelle2!$B29</f>
        <v>Network file exported and imported into Visum</v>
      </c>
      <c r="C34" t="s">
        <v>54</v>
      </c>
    </row>
    <row r="35" spans="1:3" x14ac:dyDescent="0.25">
      <c r="A35" s="4" t="s">
        <v>55</v>
      </c>
      <c r="B35" t="str">
        <f>[1]Tabelle2!$B30</f>
        <v>Matrix Loaded to Visum</v>
      </c>
      <c r="C35" t="s">
        <v>55</v>
      </c>
    </row>
    <row r="36" spans="1:3" x14ac:dyDescent="0.25">
      <c r="A36" s="4" t="s">
        <v>44</v>
      </c>
      <c r="B36" t="str">
        <f>"f'"&amp;[1]Tabelle2!$B31</f>
        <v>f'The combined Results were imported into Visum</v>
      </c>
      <c r="C36" t="s">
        <v>44</v>
      </c>
    </row>
    <row r="37" spans="1:3" x14ac:dyDescent="0.25">
      <c r="A37" s="4" t="s">
        <v>30</v>
      </c>
      <c r="B37" t="str">
        <f>[1]Tabelle2!$B32</f>
        <v>Current Settings</v>
      </c>
      <c r="C37" t="s">
        <v>30</v>
      </c>
    </row>
    <row r="38" spans="1:3" x14ac:dyDescent="0.25">
      <c r="A38" s="4" t="s">
        <v>31</v>
      </c>
      <c r="B38" t="str">
        <f>[1]Tabelle2!$B33</f>
        <v>Districts: Attr. Centrality</v>
      </c>
      <c r="C38" t="s">
        <v>31</v>
      </c>
    </row>
    <row r="39" spans="1:3" x14ac:dyDescent="0.25">
      <c r="A39" s="4" t="s">
        <v>32</v>
      </c>
      <c r="B39" t="str">
        <f>[1]Tabelle2!$B34</f>
        <v>Attr isOrigin</v>
      </c>
      <c r="C39" t="s">
        <v>32</v>
      </c>
    </row>
    <row r="40" spans="1:3" x14ac:dyDescent="0.25">
      <c r="A40" s="4" t="s">
        <v>33</v>
      </c>
      <c r="B40" t="str">
        <f>[1]Tabelle2!$B35</f>
        <v>Attr isDestination</v>
      </c>
      <c r="C40" t="s">
        <v>33</v>
      </c>
    </row>
    <row r="41" spans="1:3" x14ac:dyDescent="0.25">
      <c r="A41" s="4" t="s">
        <v>34</v>
      </c>
      <c r="B41" t="str">
        <f>[1]Tabelle2!$B36</f>
        <v>Distance calculation</v>
      </c>
      <c r="C41" t="s">
        <v>34</v>
      </c>
    </row>
    <row r="42" spans="1:3" x14ac:dyDescent="0.25">
      <c r="A42" s="4" t="s">
        <v>35</v>
      </c>
      <c r="B42" t="str">
        <f>[1]Tabelle2!$B37</f>
        <v>Neighbourhood level per CFL</v>
      </c>
      <c r="C42" t="s">
        <v>35</v>
      </c>
    </row>
    <row r="43" spans="1:3" x14ac:dyDescent="0.25">
      <c r="A43" s="4" t="s">
        <v>36</v>
      </c>
      <c r="B43" t="str">
        <f>[1]Tabelle2!$B38</f>
        <v>Number of Suppliers per CFL</v>
      </c>
      <c r="C43" t="s">
        <v>36</v>
      </c>
    </row>
    <row r="44" spans="1:3" x14ac:dyDescent="0.25">
      <c r="A44" s="4" t="s">
        <v>37</v>
      </c>
      <c r="B44" t="str">
        <f>[1]Tabelle2!$B39</f>
        <v>District Attribute</v>
      </c>
      <c r="C44" t="s">
        <v>37</v>
      </c>
    </row>
    <row r="45" spans="1:3" x14ac:dyDescent="0.25">
      <c r="A45" s="4" t="s">
        <v>38</v>
      </c>
      <c r="B45" t="str">
        <f>[1]Tabelle2!$B40</f>
        <v>Centrality</v>
      </c>
      <c r="C45" t="s">
        <v>38</v>
      </c>
    </row>
    <row r="46" spans="1:3" x14ac:dyDescent="0.25">
      <c r="A46" s="4" t="s">
        <v>39</v>
      </c>
      <c r="B46" t="str">
        <f>[1]Tabelle2!$B41</f>
        <v>is Origin</v>
      </c>
      <c r="C46" t="s">
        <v>39</v>
      </c>
    </row>
    <row r="47" spans="1:3" x14ac:dyDescent="0.25">
      <c r="A47" s="4" t="s">
        <v>40</v>
      </c>
      <c r="B47" t="str">
        <f>[1]Tabelle2!$B42</f>
        <v>is Destination</v>
      </c>
      <c r="C47" t="s">
        <v>40</v>
      </c>
    </row>
    <row r="48" spans="1:3" x14ac:dyDescent="0.25">
      <c r="A48" s="4" t="s">
        <v>41</v>
      </c>
      <c r="B48" t="str">
        <f>[1]Tabelle2!$B43</f>
        <v>Connectivity Function Level</v>
      </c>
      <c r="C48" t="s">
        <v>41</v>
      </c>
    </row>
    <row r="49" spans="1:3" x14ac:dyDescent="0.25">
      <c r="A49" s="4" t="s">
        <v>42</v>
      </c>
      <c r="B49" t="str">
        <f>[1]Tabelle2!$B44</f>
        <v>Attribute value CFL</v>
      </c>
      <c r="C49" t="s">
        <v>42</v>
      </c>
    </row>
    <row r="50" spans="1:3" x14ac:dyDescent="0.25">
      <c r="A50" s="4" t="s">
        <v>43</v>
      </c>
      <c r="B50" t="str">
        <f>[1]Tabelle2!$B45</f>
        <v>Interchange function</v>
      </c>
      <c r="C50" t="s">
        <v>43</v>
      </c>
    </row>
    <row r="51" spans="1:3" x14ac:dyDescent="0.25">
      <c r="A51" s="4" t="s">
        <v>37</v>
      </c>
      <c r="B51" t="str">
        <f>[1]Tabelle2!$B$39</f>
        <v>District Attribute</v>
      </c>
      <c r="C51" t="s">
        <v>37</v>
      </c>
    </row>
    <row r="52" spans="1:3" x14ac:dyDescent="0.25">
      <c r="A52" s="4" t="s">
        <v>38</v>
      </c>
      <c r="B52" t="str">
        <f>[1]Tabelle2!$B$40</f>
        <v>Centrality</v>
      </c>
      <c r="C52" t="s">
        <v>38</v>
      </c>
    </row>
    <row r="53" spans="1:3" x14ac:dyDescent="0.25">
      <c r="A53" s="4" t="s">
        <v>39</v>
      </c>
      <c r="B53" t="str">
        <f>[1]Tabelle2!$B$41</f>
        <v>is Origin</v>
      </c>
      <c r="C53" t="s">
        <v>39</v>
      </c>
    </row>
    <row r="54" spans="1:3" x14ac:dyDescent="0.25">
      <c r="A54" s="4" t="s">
        <v>40</v>
      </c>
      <c r="B54" t="str">
        <f>[1]Tabelle2!$B$42</f>
        <v>is Destination</v>
      </c>
      <c r="C54" t="s">
        <v>40</v>
      </c>
    </row>
    <row r="55" spans="1:3" x14ac:dyDescent="0.25">
      <c r="A55" s="4" t="s">
        <v>41</v>
      </c>
      <c r="B55" s="2" t="str">
        <f>[1]Tabelle2!$B$43</f>
        <v>Connectivity Function Level</v>
      </c>
      <c r="C55" t="s">
        <v>41</v>
      </c>
    </row>
    <row r="56" spans="1:3" x14ac:dyDescent="0.25">
      <c r="A56" s="4" t="s">
        <v>42</v>
      </c>
      <c r="B56" t="str">
        <f>[1]Tabelle2!$B44</f>
        <v>Attribute value CFL</v>
      </c>
      <c r="C56" t="s">
        <v>42</v>
      </c>
    </row>
    <row r="57" spans="1:3" x14ac:dyDescent="0.25">
      <c r="A57" s="4" t="s">
        <v>43</v>
      </c>
      <c r="B57" t="str">
        <f>[1]Tabelle2!$B45</f>
        <v>Interchange function</v>
      </c>
      <c r="C57" t="s">
        <v>43</v>
      </c>
    </row>
    <row r="58" spans="1:3" x14ac:dyDescent="0.25">
      <c r="A58" s="4" t="s">
        <v>45</v>
      </c>
      <c r="B58" t="str">
        <f>[1]Tabelle2!$B46</f>
        <v>n-Nearest Neighbour</v>
      </c>
      <c r="C58" t="s">
        <v>45</v>
      </c>
    </row>
    <row r="59" spans="1:3" x14ac:dyDescent="0.25">
      <c r="A59" s="4" t="s">
        <v>46</v>
      </c>
      <c r="B59" t="str">
        <f>[1]Tabelle2!$B47</f>
        <v>Supply function</v>
      </c>
      <c r="C59" t="s">
        <v>46</v>
      </c>
    </row>
    <row r="60" spans="1:3" x14ac:dyDescent="0.25">
      <c r="A60" s="4" t="s">
        <v>52</v>
      </c>
      <c r="B60" t="str">
        <f>"n "&amp;[1]Tabelle2!$B48</f>
        <v>n Supply Centers</v>
      </c>
      <c r="C60" t="s">
        <v>52</v>
      </c>
    </row>
    <row r="61" spans="1:3" x14ac:dyDescent="0.25">
      <c r="A61" s="4" t="s">
        <v>47</v>
      </c>
      <c r="B61" t="str">
        <f>[1]Tabelle2!$B49</f>
        <v>Create in Visum as</v>
      </c>
      <c r="C61" t="s">
        <v>47</v>
      </c>
    </row>
    <row r="62" spans="1:3" x14ac:dyDescent="0.25">
      <c r="A62" s="4" t="s">
        <v>48</v>
      </c>
      <c r="B62" t="s">
        <v>50</v>
      </c>
      <c r="C62" t="s">
        <v>48</v>
      </c>
    </row>
    <row r="63" spans="1:3" x14ac:dyDescent="0.25">
      <c r="A63" s="4" t="s">
        <v>49</v>
      </c>
      <c r="B63" t="s">
        <v>51</v>
      </c>
      <c r="C63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Magdalena Schilling</cp:lastModifiedBy>
  <dcterms:created xsi:type="dcterms:W3CDTF">2025-05-22T12:30:53Z</dcterms:created>
  <dcterms:modified xsi:type="dcterms:W3CDTF">2025-07-01T13:13:59Z</dcterms:modified>
</cp:coreProperties>
</file>