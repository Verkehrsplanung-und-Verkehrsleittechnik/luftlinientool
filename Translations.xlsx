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IP - Masters\Hiwi - Magdalena\01-9\Luftlinientool-translation\"/>
    </mc:Choice>
  </mc:AlternateContent>
  <xr:revisionPtr revIDLastSave="0" documentId="13_ncr:1_{C10072E2-89B3-4DFF-B609-3D8FADC85B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" l="1"/>
  <c r="B7" i="1"/>
  <c r="B8" i="1"/>
  <c r="B9" i="1"/>
  <c r="B10" i="1"/>
  <c r="B12" i="1"/>
  <c r="B18" i="1"/>
  <c r="B35" i="1"/>
  <c r="B34" i="1"/>
  <c r="B53" i="1"/>
  <c r="B51" i="1"/>
  <c r="B52" i="1"/>
  <c r="B54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33" i="1"/>
  <c r="B32" i="1"/>
  <c r="B31" i="1"/>
  <c r="B29" i="1"/>
  <c r="B30" i="1"/>
  <c r="B28" i="1"/>
  <c r="B27" i="1"/>
  <c r="B26" i="1"/>
  <c r="B25" i="1"/>
  <c r="B24" i="1"/>
  <c r="B23" i="1"/>
  <c r="B22" i="1"/>
  <c r="B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C2ADE2-863A-4468-91E7-CF7CE4F0C35C}" keepAlive="1" name="Query - fileSelectionOption Choose a VISUM" description="Connection to the 'fileSelectionOption Choose a VISUM' query in the workbook." type="5" refreshedVersion="0" background="1">
    <dbPr connection="Provider=Microsoft.Mashup.OleDb.1;Data Source=$Workbook$;Location=&quot;fileSelectionOption Choose a VISUM&quot;;Extended Properties=&quot;&quot;" command="SELECT * FROM [fileSelectionOption Choose a VISUM]"/>
  </connection>
</connections>
</file>

<file path=xl/sharedStrings.xml><?xml version="1.0" encoding="utf-8"?>
<sst xmlns="http://schemas.openxmlformats.org/spreadsheetml/2006/main" count="294" uniqueCount="262">
  <si>
    <t>en</t>
  </si>
  <si>
    <t>de</t>
  </si>
  <si>
    <t>Erstellen von Verbindungsfunktionsstufen-Luftliniennetzen</t>
  </si>
  <si>
    <t>Daten einlesen</t>
  </si>
  <si>
    <t>Defaultwerte übernehmen</t>
  </si>
  <si>
    <t>Info</t>
  </si>
  <si>
    <t>Auswahl</t>
  </si>
  <si>
    <t>Main</t>
  </si>
  <si>
    <t>Log</t>
  </si>
  <si>
    <t>Parameter Eingaben</t>
  </si>
  <si>
    <t>Bezirksattribut \nZentralität</t>
  </si>
  <si>
    <t>District Attribute \ncentrallity</t>
  </si>
  <si>
    <t>Berechnung durchführen</t>
  </si>
  <si>
    <t>Berechnungen zurücksetzen</t>
  </si>
  <si>
    <t>Defaultwerte</t>
  </si>
  <si>
    <t>Filter: eingefügte Strecken</t>
  </si>
  <si>
    <t>Löschen: eingefügte Strecken</t>
  </si>
  <si>
    <t>VFS 0</t>
  </si>
  <si>
    <t>VFS 1</t>
  </si>
  <si>
    <t>VFS 2</t>
  </si>
  <si>
    <t>VFS 3</t>
  </si>
  <si>
    <t>VFS 4</t>
  </si>
  <si>
    <t>VFS 5</t>
  </si>
  <si>
    <t>Default-Werte hergestellt</t>
  </si>
  <si>
    <t>sollte nie passieren</t>
  </si>
  <si>
    <t>Umgang mit Nichtvisum Dateien ist nicht implementiert</t>
  </si>
  <si>
    <t>Attribut übernommen, Bezirke neu importiert, Rechnungen zurückgesetzt</t>
  </si>
  <si>
    <t>Berechnung durchgeführt</t>
  </si>
  <si>
    <t>Daten importiert</t>
  </si>
  <si>
    <t>Ergebnisse gelöscht, ggf Ergebnisse neu nach Visum importieren</t>
  </si>
  <si>
    <t>aktuelle Settings</t>
  </si>
  <si>
    <t>Bezirke: Attr. Zentralität</t>
  </si>
  <si>
    <t>Attr istQuelle</t>
  </si>
  <si>
    <t>Attr istZeil</t>
  </si>
  <si>
    <t>Distanzberechnung</t>
  </si>
  <si>
    <t>Nachbarschaftsgrad je VFS</t>
  </si>
  <si>
    <t>Anzahl Versorger je VFS</t>
  </si>
  <si>
    <t>Bezirksattribut</t>
  </si>
  <si>
    <t>Zentralität</t>
  </si>
  <si>
    <t>ist Quelle</t>
  </si>
  <si>
    <t>ist Ziel</t>
  </si>
  <si>
    <t>Verbindungsfunktionsstufe</t>
  </si>
  <si>
    <t>Attributwert VFS</t>
  </si>
  <si>
    <t>Austauschfunktion</t>
  </si>
  <si>
    <t>f'die kombinierten Ergebnisse wurden in Visum importiert</t>
  </si>
  <si>
    <t>n-naechste Nachbarn</t>
  </si>
  <si>
    <t>Versorgungsfunktion</t>
  </si>
  <si>
    <t>anlegen in Visum als</t>
  </si>
  <si>
    <t>Import nach Visum alle VFS</t>
  </si>
  <si>
    <t>Strecken + Mtx</t>
  </si>
  <si>
    <t>Import to Visum all CFL</t>
  </si>
  <si>
    <t>Routes + Mtx</t>
  </si>
  <si>
    <t>n Versorgungszentren</t>
  </si>
  <si>
    <t>Versiondateien</t>
  </si>
  <si>
    <t>Net-Datei exportiert und in Visum importiert</t>
  </si>
  <si>
    <t>Matrix in Visum geladen</t>
  </si>
  <si>
    <t>Filter: Inserted Links</t>
  </si>
  <si>
    <t>Delete: Inserted Links</t>
  </si>
  <si>
    <t>Log-Messages</t>
  </si>
  <si>
    <t>Choose a VISUM model</t>
  </si>
  <si>
    <t>VISUM version files</t>
  </si>
  <si>
    <t>Language Choice</t>
  </si>
  <si>
    <t>Sprachauswahl</t>
  </si>
  <si>
    <t>Select your preferred language</t>
  </si>
  <si>
    <t>Wähle die gewünschte Sprache</t>
  </si>
  <si>
    <t>Funktion Distanzberechnung</t>
  </si>
  <si>
    <t>Distance calculation Function</t>
  </si>
  <si>
    <t>Main tab</t>
  </si>
  <si>
    <t>Log tab</t>
  </si>
  <si>
    <t>Input Parameter</t>
  </si>
  <si>
    <t>parameter_Input_Section</t>
  </si>
  <si>
    <t>district_AttributeCentrality_Header</t>
  </si>
  <si>
    <t>centrality_Setting</t>
  </si>
  <si>
    <t>isOrigin_Option</t>
  </si>
  <si>
    <t>isDestination_Option</t>
  </si>
  <si>
    <t>interchangeFunction_Parameter</t>
  </si>
  <si>
    <t>Wähle ein Visumnetz</t>
  </si>
  <si>
    <t>dialog_language_select_message</t>
  </si>
  <si>
    <t>Please select your preferred language</t>
  </si>
  <si>
    <t>Bitte wählen Sie Ihre bevorzugte Sprache</t>
  </si>
  <si>
    <t>dialog_language_select_title</t>
  </si>
  <si>
    <t>Select Language</t>
  </si>
  <si>
    <t>Sprache auswählen</t>
  </si>
  <si>
    <t>calculation_Performed</t>
  </si>
  <si>
    <t>file_Selection</t>
  </si>
  <si>
    <t>ver_files</t>
  </si>
  <si>
    <t>app_title</t>
  </si>
  <si>
    <t>language_choice</t>
  </si>
  <si>
    <t>language_choice_title</t>
  </si>
  <si>
    <t>data_Imported</t>
  </si>
  <si>
    <t>menu_import_data</t>
  </si>
  <si>
    <t>menu_calculate</t>
  </si>
  <si>
    <t>menu_reset_calculations</t>
  </si>
  <si>
    <t>menu_info</t>
  </si>
  <si>
    <t>menu_set_defaults</t>
  </si>
  <si>
    <t>toolbar_filter_inserted_links</t>
  </si>
  <si>
    <t>toolbar_delete_inserted_links</t>
  </si>
  <si>
    <t>options_tab</t>
  </si>
  <si>
    <t>main_tab</t>
  </si>
  <si>
    <t>log_tab</t>
  </si>
  <si>
    <t>log_Messages_tab</t>
  </si>
  <si>
    <t>default_Values_tab</t>
  </si>
  <si>
    <t>set_defaults</t>
  </si>
  <si>
    <t>warning_should_never_happen</t>
  </si>
  <si>
    <t>warning_non_visum_files_not_supported</t>
  </si>
  <si>
    <t>status_attribute_applied_reimport_reset</t>
  </si>
  <si>
    <t>status_results_deleted_may_reimport</t>
  </si>
  <si>
    <t>districts_Attribute_Centrality_Setting</t>
  </si>
  <si>
    <t>label_district_is_origin</t>
  </si>
  <si>
    <t>label_district_is_destination</t>
  </si>
  <si>
    <t>distance_calculation_Setting</t>
  </si>
  <si>
    <t>neighbourhood_LevelPerCFL_Setting</t>
  </si>
  <si>
    <t>number_of_Suppliers_PerCFL_Setting</t>
  </si>
  <si>
    <t>district_Attribute_Setting</t>
  </si>
  <si>
    <t>connectivity_Function_Level_Parameter</t>
  </si>
  <si>
    <t>attribute_value_CFL_Parameter</t>
  </si>
  <si>
    <t>n_Nearest_Neighbour_Parameter</t>
  </si>
  <si>
    <t>supply_Function_Parameter</t>
  </si>
  <si>
    <t>n_Supply_Centers_Parameter</t>
  </si>
  <si>
    <t>create_In_VisumAs_Option</t>
  </si>
  <si>
    <t>import_To_Visum_All_CFL_Option</t>
  </si>
  <si>
    <t>routes_And_Matrix_Option</t>
  </si>
  <si>
    <t>distance_Calculation_Fcn_Option</t>
  </si>
  <si>
    <t>: status_net_exported_imported</t>
  </si>
  <si>
    <t>: status_matrix_loaded_into_visum</t>
  </si>
  <si>
    <t>f'status_combined_results_imported'</t>
  </si>
  <si>
    <t>current_Settings_Section</t>
  </si>
  <si>
    <t>attr_cfl</t>
  </si>
  <si>
    <t>attr_origin</t>
  </si>
  <si>
    <t>attr_ziel</t>
  </si>
  <si>
    <t>attr_VFS</t>
  </si>
  <si>
    <t>attr_Destination</t>
  </si>
  <si>
    <t>log_calculation_all_vfs_finished</t>
  </si>
  <si>
    <t>Calculation for all CFLs is complete.</t>
  </si>
  <si>
    <t>Die Berechnung über alle VFS ist abgeschlossen.</t>
  </si>
  <si>
    <t>log_vfs_too_few_active_zones</t>
  </si>
  <si>
    <t>{vfs}: Too few zones are active.</t>
  </si>
  <si>
    <t>{vfs}: es sind zu wenige Bezirke aktiv.</t>
  </si>
  <si>
    <t>error_matrix_not_symmetric</t>
  </si>
  <si>
    <t>Error: Matrix is not symmetric.</t>
  </si>
  <si>
    <t>Fehler: Matrix ist nicht symmetrisch.</t>
  </si>
  <si>
    <t>error_duplicate_coordinates</t>
  </si>
  <si>
    <t>Aborted: Zones with identical coordinates found (NUMBER/NAME): {zones}</t>
  </si>
  <si>
    <t>Abbruch: Bezirke mit den identischen Koordinaten (NUMMER/NAME):{zones}</t>
  </si>
  <si>
    <t>log_delaunay_for_zones</t>
  </si>
  <si>
    <t>{vfs}: Performing Delaunay triangulation for {count} zones.</t>
  </si>
  <si>
    <t>{vfs}: Delauney Triangulation wird für {count} Bezirke durchgeführt.</t>
  </si>
  <si>
    <t>warn_load_failed_format</t>
  </si>
  <si>
    <t>Loading district data failed, input format is not implemented.</t>
  </si>
  <si>
    <t>Laden der Bezirksdaten fehlgeschlagen, Eingabeformat ist nicht implementiert.</t>
  </si>
  <si>
    <t>log_init_visum_instance</t>
  </si>
  <si>
    <t>Initializing Visum instance...</t>
  </si>
  <si>
    <t>Initialisiere Visum Instanz...</t>
  </si>
  <si>
    <t>log_opening_version_file</t>
  </si>
  <si>
    <t>log_version_file_loaded</t>
  </si>
  <si>
    <t>Version file successfully loaded.</t>
  </si>
  <si>
    <t>Versionsdatei erfolgreich geladen.</t>
  </si>
  <si>
    <t>warn_distance_calc_not_implemented</t>
  </si>
  <si>
    <t>Distance calculation case is not implemented.</t>
  </si>
  <si>
    <t>Distanzberechnungsfall ist nicht implementiert.</t>
  </si>
  <si>
    <t>error_param_type_not_implemented</t>
  </si>
  <si>
    <t>Parameter type not implemented.</t>
  </si>
  <si>
    <t>Parametertyp nicht implementiert.</t>
  </si>
  <si>
    <t>log_zones_loaded</t>
  </si>
  <si>
    <t>{count} zones loaded.</t>
  </si>
  <si>
    <t>{count} Bezirke geladen.</t>
  </si>
  <si>
    <t>warn_zone_data_load_failed</t>
  </si>
  <si>
    <t>Loading zone data failed, input format is not implemented.</t>
  </si>
  <si>
    <t>warn_adj_matrix_not_symmetric</t>
  </si>
  <si>
    <t>log_calc_all_vfs_start</t>
  </si>
  <si>
    <t>Starting calculation for all CFLs.</t>
  </si>
  <si>
    <t>Berechnung über alle VFS wird gestartet.</t>
  </si>
  <si>
    <t>log_adj_matrices_initialized</t>
  </si>
  <si>
    <t>Adjacency matrices have been initialized.</t>
  </si>
  <si>
    <t>Adjazenzmatrizen wurden initialisiert.</t>
  </si>
  <si>
    <t>The calculation for all CFLs is complete.</t>
  </si>
  <si>
    <t>log_triangles_created</t>
  </si>
  <si>
    <t>log_calculating_neighborhood_degree</t>
  </si>
  <si>
    <t>log_debug_results_in_visum</t>
  </si>
  <si>
    <t>warn_delete_nodes_no_visum</t>
  </si>
  <si>
    <t>Delete nodes: No Visum instance is linked.</t>
  </si>
  <si>
    <t>Knoten löschen: es ist keine Visuminstanz verknüpft.</t>
  </si>
  <si>
    <t>log_isolated_nodes_deleted</t>
  </si>
  <si>
    <t>warn_matrix_code_duplicate</t>
  </si>
  <si>
    <t>Matrix code exists multiple times, the first matrix will be overwritten.</t>
  </si>
  <si>
    <t>Matrixcode ist mehrfach vorhanden, erste Matrix wird überschrieben.</t>
  </si>
  <si>
    <t>log_matrix_code_exists_overwrite</t>
  </si>
  <si>
    <t>Matrix code exists, content will be overwritten.</t>
  </si>
  <si>
    <t>Matrixcode ist vorhanden, Inhalt wird überschrieben.</t>
  </si>
  <si>
    <t>log_matrix_read_into_visum</t>
  </si>
  <si>
    <t>log_matrix_mtx_read_into_visum</t>
  </si>
  <si>
    <t>log_visum_not_open_matrices_exported</t>
  </si>
  <si>
    <t>Visum is not open. Matrices were exported as files to: {path}</t>
  </si>
  <si>
    <t>error_link_numbering_mismatch</t>
  </si>
  <si>
    <t>Link numbering does not match the number of links.</t>
  </si>
  <si>
    <t>Streckennummerierung passt nicht zur Streckenanzahl.</t>
  </si>
  <si>
    <t>log_no_links_to_export</t>
  </si>
  <si>
    <t>No links to export, aborting.</t>
  </si>
  <si>
    <t>Keine Strecken zum Exportieren, Abbruch.</t>
  </si>
  <si>
    <t>warn_net_file_import_error</t>
  </si>
  <si>
    <t>Error importing the network file.</t>
  </si>
  <si>
    <t>Fehler beim Import der Netzdatei.</t>
  </si>
  <si>
    <t>aktuelle Settings:</t>
  </si>
  <si>
    <t>Current settings</t>
  </si>
  <si>
    <t>Current settings:</t>
  </si>
  <si>
    <t>Districts: Attr. Centrality</t>
  </si>
  <si>
    <t>CFL</t>
  </si>
  <si>
    <t>VFS</t>
  </si>
  <si>
    <t>Opening version file:</t>
  </si>
  <si>
    <t>Öffne Versionsdatei:</t>
  </si>
  <si>
    <t>Adjacency matrix is not symmetric.</t>
  </si>
  <si>
    <t>Adjazenzmatrix ist nicht symmetrisch.</t>
  </si>
  <si>
    <t xml:space="preserve">Aborted: Zones with identical coordinates found (NUMBER/NAME): </t>
  </si>
  <si>
    <t xml:space="preserve">Abbruch: Bezirke mit den identischen Koordinaten (NUMMER/NAME): </t>
  </si>
  <si>
    <t>es sind zu wenige Bezirke aktiv.</t>
  </si>
  <si>
    <t>Too few zones are active.</t>
  </si>
  <si>
    <t>log_delaunay_for</t>
  </si>
  <si>
    <t>_zones</t>
  </si>
  <si>
    <t>Performing Delaunay triangulation for</t>
  </si>
  <si>
    <t>Delauney Triangulation wird für</t>
  </si>
  <si>
    <t xml:space="preserve"> zones.</t>
  </si>
  <si>
    <t xml:space="preserve"> Bezirke durchgeführt.</t>
  </si>
  <si>
    <t>triangles were created.</t>
  </si>
  <si>
    <t>es wurden Dreiecke gebildet.</t>
  </si>
  <si>
    <t xml:space="preserve"> : der Nachbarschaftsgrad muss berechnet werden.</t>
  </si>
  <si>
    <t>: The neighborhood degree must be calculated.</t>
  </si>
  <si>
    <t>: The result can be viewed in Visum.</t>
  </si>
  <si>
    <t>: das Ergebnis kann in Visum bestaunt werden.</t>
  </si>
  <si>
    <t xml:space="preserve"> is complete.</t>
  </si>
  <si>
    <t xml:space="preserve">The calculation for </t>
  </si>
  <si>
    <t xml:space="preserve">Die Berechnung </t>
  </si>
  <si>
    <t xml:space="preserve"> ist abgeschlossen.</t>
  </si>
  <si>
    <t>log_vfs_calculation</t>
  </si>
  <si>
    <t>_finished</t>
  </si>
  <si>
    <t xml:space="preserve"> isolated nodes were deleted.</t>
  </si>
  <si>
    <t xml:space="preserve"> isolierte Knoten wurden gelöscht.</t>
  </si>
  <si>
    <t xml:space="preserve"> matrices.</t>
  </si>
  <si>
    <t xml:space="preserve"> Matrizen.</t>
  </si>
  <si>
    <t xml:space="preserve">Starting export of </t>
  </si>
  <si>
    <t xml:space="preserve">Beginne mit Export von </t>
  </si>
  <si>
    <t>log_matrix_export</t>
  </si>
  <si>
    <t>_start</t>
  </si>
  <si>
    <t xml:space="preserve"> is not in the list of calculated CFLs.</t>
  </si>
  <si>
    <t xml:space="preserve"> ist nicht in der Liste der berechneten VFS.</t>
  </si>
  <si>
    <t xml:space="preserve">Error: </t>
  </si>
  <si>
    <t xml:space="preserve">Fehler: </t>
  </si>
  <si>
    <t>warn_vfs</t>
  </si>
  <si>
    <t>not_in_calculated_list</t>
  </si>
  <si>
    <t xml:space="preserve">Matrix </t>
  </si>
  <si>
    <t xml:space="preserve">saved to file: </t>
  </si>
  <si>
    <t xml:space="preserve"> in Datei gespeichert: </t>
  </si>
  <si>
    <t>saved_to_file</t>
  </si>
  <si>
    <t>log_matrix</t>
  </si>
  <si>
    <t xml:space="preserve"> was read into Visum.</t>
  </si>
  <si>
    <t xml:space="preserve"> wurde in Visum eingelesen.</t>
  </si>
  <si>
    <t xml:space="preserve">Visum ist nicht geöffnet. Matrizen wurden als Dateien exportiert nach: </t>
  </si>
  <si>
    <t xml:space="preserve">The network file of </t>
  </si>
  <si>
    <t xml:space="preserve"> CFLs has been exported to Visum.</t>
  </si>
  <si>
    <t xml:space="preserve">Die Netzdatei von </t>
  </si>
  <si>
    <t xml:space="preserve"> VFS wurde nach Visum exportiert.</t>
  </si>
  <si>
    <t>log_net</t>
  </si>
  <si>
    <t>file_exported_to_visum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</si>
</sst>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3" fillId="0" borderId="0" xfId="0" applyFont="1" applyBorder="1"/>
    <xf numFmtId="0" fontId="0" fillId="0" borderId="5" xfId="0" applyBorder="1"/>
    <xf numFmtId="0" fontId="0" fillId="0" borderId="0" xfId="0" applyBorder="1"/>
    <xf numFmtId="0" fontId="3" fillId="0" borderId="5" xfId="0" applyFont="1" applyBorder="1"/>
    <xf numFmtId="0" fontId="0" fillId="0" borderId="0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" fillId="0" borderId="1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4" fillId="0" borderId="10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ni-stuttgart.de\isv20\shared\Hiwis\Mahfouz_Ali\03_Arbeitsplatz\Gloss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elle1"/>
      <sheetName val="Tabelle2"/>
    </sheetNames>
    <sheetDataSet>
      <sheetData sheetId="0">
        <row r="13">
          <cell r="B13" t="str">
            <v>Default Values</v>
          </cell>
        </row>
      </sheetData>
      <sheetData sheetId="1">
        <row r="3">
          <cell r="B3" t="str">
            <v>Choose a visum network</v>
          </cell>
        </row>
        <row r="5">
          <cell r="B5" t="str">
            <v>Connectivity Function Level -  Direct distance Net Creation</v>
          </cell>
        </row>
        <row r="6">
          <cell r="B6" t="str">
            <v>Import Data</v>
          </cell>
        </row>
        <row r="7">
          <cell r="B7" t="str">
            <v>Perform Calculation</v>
          </cell>
        </row>
        <row r="8">
          <cell r="B8" t="str">
            <v>Reset Calculation</v>
          </cell>
        </row>
        <row r="9">
          <cell r="B9" t="str">
            <v>Set Default Values</v>
          </cell>
        </row>
        <row r="10">
          <cell r="B10" t="str">
            <v>Options</v>
          </cell>
        </row>
        <row r="13">
          <cell r="B13" t="str">
            <v>CFL 0</v>
          </cell>
        </row>
        <row r="14">
          <cell r="B14" t="str">
            <v>CFL 1</v>
          </cell>
        </row>
        <row r="15">
          <cell r="B15" t="str">
            <v>CFL 2</v>
          </cell>
        </row>
        <row r="16">
          <cell r="B16" t="str">
            <v>CFL 3</v>
          </cell>
        </row>
        <row r="17">
          <cell r="B17" t="str">
            <v>CFL 4</v>
          </cell>
        </row>
        <row r="18">
          <cell r="B18" t="str">
            <v>CFL 5</v>
          </cell>
        </row>
        <row r="19">
          <cell r="B19" t="str">
            <v>Set Default Values</v>
          </cell>
        </row>
        <row r="23">
          <cell r="B23" t="str">
            <v>should never happen</v>
          </cell>
        </row>
        <row r="24">
          <cell r="B24" t="str">
            <v>Handling of non-visum files is not implemented</v>
          </cell>
        </row>
        <row r="25">
          <cell r="B25" t="str">
            <v>Attribute transferred, new districts imported, Calculations reset</v>
          </cell>
        </row>
        <row r="26">
          <cell r="B26" t="str">
            <v>Calculation Performed</v>
          </cell>
        </row>
        <row r="27">
          <cell r="B27" t="str">
            <v>Data imported</v>
          </cell>
        </row>
        <row r="28">
          <cell r="B28" t="str">
            <v>Results deleted, re-import Results to visum if necessary</v>
          </cell>
        </row>
        <row r="29">
          <cell r="B29" t="str">
            <v>Network file exported and imported into Visum</v>
          </cell>
        </row>
        <row r="30">
          <cell r="B30" t="str">
            <v>Matrix Loaded to Visum</v>
          </cell>
        </row>
        <row r="31">
          <cell r="B31" t="str">
            <v>The combined Results were imported into Visum</v>
          </cell>
        </row>
        <row r="32">
          <cell r="B32" t="str">
            <v>Current Settings</v>
          </cell>
        </row>
        <row r="33">
          <cell r="B33" t="str">
            <v>Districts: Attr. Centrality</v>
          </cell>
        </row>
        <row r="34">
          <cell r="B34" t="str">
            <v>Attr isOrigin</v>
          </cell>
        </row>
        <row r="35">
          <cell r="B35" t="str">
            <v>Attr isDestination</v>
          </cell>
        </row>
        <row r="36">
          <cell r="B36" t="str">
            <v>Distance calculation</v>
          </cell>
        </row>
        <row r="37">
          <cell r="B37" t="str">
            <v>Neighbourhood level per CFL</v>
          </cell>
        </row>
        <row r="38">
          <cell r="B38" t="str">
            <v>Number of Suppliers per CFL</v>
          </cell>
        </row>
        <row r="39">
          <cell r="B39" t="str">
            <v>District Attribute</v>
          </cell>
        </row>
        <row r="40">
          <cell r="B40" t="str">
            <v>Centrality</v>
          </cell>
        </row>
        <row r="41">
          <cell r="B41" t="str">
            <v>is Origin</v>
          </cell>
        </row>
        <row r="42">
          <cell r="B42" t="str">
            <v>is Destination</v>
          </cell>
        </row>
        <row r="43">
          <cell r="B43" t="str">
            <v>Connectivity Function Level</v>
          </cell>
        </row>
        <row r="44">
          <cell r="B44" t="str">
            <v>Attribute value CFL</v>
          </cell>
        </row>
        <row r="45">
          <cell r="B45" t="str">
            <v>Interchange function</v>
          </cell>
        </row>
        <row r="46">
          <cell r="B46" t="str">
            <v>n-Nearest Neighbour</v>
          </cell>
        </row>
        <row r="47">
          <cell r="B47" t="str">
            <v>Supply function</v>
          </cell>
        </row>
        <row r="48">
          <cell r="B48" t="str">
            <v>Supply Centers</v>
          </cell>
        </row>
        <row r="49">
          <cell r="B49" t="str">
            <v>Create in Visum 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2"/>
  <sheetViews>
    <sheetView tabSelected="1" topLeftCell="A13" workbookViewId="0">
      <selection activeCell="A21" sqref="A21:A26"/>
    </sheetView>
  </sheetViews>
  <sheetFormatPr defaultColWidth="9.109375" defaultRowHeight="14.4" x14ac:dyDescent="0.3"/>
  <cols>
    <col min="1" max="1" width="35.44140625" style="15" customWidth="1"/>
    <col min="2" max="2" width="59" bestFit="1" customWidth="1"/>
    <col min="3" max="3" width="68.109375" bestFit="1" customWidth="1"/>
  </cols>
  <sheetData>
    <row r="1" spans="1:3" x14ac:dyDescent="0.3">
      <c r="A1" s="11"/>
      <c r="B1" s="1" t="s">
        <v>0</v>
      </c>
      <c r="C1" s="2" t="s">
        <v>1</v>
      </c>
    </row>
    <row r="2" spans="1:3" x14ac:dyDescent="0.3">
      <c r="A2" s="12" t="s">
        <v>84</v>
      </c>
      <c r="B2" s="3" t="s">
        <v>59</v>
      </c>
      <c r="C2" s="4" t="s">
        <v>76</v>
      </c>
    </row>
    <row r="3" spans="1:3" x14ac:dyDescent="0.3">
      <c r="A3" s="12" t="s">
        <v>85</v>
      </c>
      <c r="B3" s="3" t="s">
        <v>60</v>
      </c>
      <c r="C3" s="4" t="s">
        <v>53</v>
      </c>
    </row>
    <row r="4" spans="1:3" x14ac:dyDescent="0.3">
      <c r="A4" s="12" t="s">
        <v>86</v>
      </c>
      <c r="B4" s="5" t="str">
        <f>[1]Tabelle2!$B$5</f>
        <v>Connectivity Function Level -  Direct distance Net Creation</v>
      </c>
      <c r="C4" s="4" t="s">
        <v>2</v>
      </c>
    </row>
    <row r="5" spans="1:3" x14ac:dyDescent="0.3">
      <c r="A5" s="12" t="s">
        <v>87</v>
      </c>
      <c r="B5" s="3" t="s">
        <v>61</v>
      </c>
      <c r="C5" s="6" t="s">
        <v>62</v>
      </c>
    </row>
    <row r="6" spans="1:3" x14ac:dyDescent="0.3">
      <c r="A6" s="12" t="s">
        <v>88</v>
      </c>
      <c r="B6" s="3" t="s">
        <v>63</v>
      </c>
      <c r="C6" s="6" t="s">
        <v>64</v>
      </c>
    </row>
    <row r="7" spans="1:3" x14ac:dyDescent="0.3">
      <c r="A7" s="13" t="s">
        <v>90</v>
      </c>
      <c r="B7" s="5" t="str">
        <f>[1]Tabelle2!$B$6</f>
        <v>Import Data</v>
      </c>
      <c r="C7" s="4" t="s">
        <v>3</v>
      </c>
    </row>
    <row r="8" spans="1:3" x14ac:dyDescent="0.3">
      <c r="A8" s="13" t="s">
        <v>91</v>
      </c>
      <c r="B8" s="5" t="str">
        <f>[1]Tabelle2!$B$7</f>
        <v>Perform Calculation</v>
      </c>
      <c r="C8" s="4" t="s">
        <v>12</v>
      </c>
    </row>
    <row r="9" spans="1:3" x14ac:dyDescent="0.3">
      <c r="A9" s="13" t="s">
        <v>92</v>
      </c>
      <c r="B9" s="5" t="str">
        <f>[1]Tabelle2!$B$8</f>
        <v>Reset Calculation</v>
      </c>
      <c r="C9" s="4" t="s">
        <v>13</v>
      </c>
    </row>
    <row r="10" spans="1:3" x14ac:dyDescent="0.3">
      <c r="A10" s="13" t="s">
        <v>94</v>
      </c>
      <c r="B10" s="5" t="str">
        <f>[1]Tabelle2!$B$9</f>
        <v>Set Default Values</v>
      </c>
      <c r="C10" s="4" t="s">
        <v>4</v>
      </c>
    </row>
    <row r="11" spans="1:3" x14ac:dyDescent="0.3">
      <c r="A11" s="13" t="s">
        <v>93</v>
      </c>
      <c r="B11" s="5" t="s">
        <v>5</v>
      </c>
      <c r="C11" s="4" t="s">
        <v>5</v>
      </c>
    </row>
    <row r="12" spans="1:3" x14ac:dyDescent="0.3">
      <c r="A12" s="13" t="s">
        <v>97</v>
      </c>
      <c r="B12" s="5" t="str">
        <f>[1]Tabelle2!$B$10</f>
        <v>Options</v>
      </c>
      <c r="C12" s="4" t="s">
        <v>6</v>
      </c>
    </row>
    <row r="13" spans="1:3" x14ac:dyDescent="0.3">
      <c r="A13" s="13" t="s">
        <v>98</v>
      </c>
      <c r="B13" s="5" t="s">
        <v>7</v>
      </c>
      <c r="C13" s="4" t="s">
        <v>7</v>
      </c>
    </row>
    <row r="14" spans="1:3" x14ac:dyDescent="0.3">
      <c r="A14" s="13" t="s">
        <v>99</v>
      </c>
      <c r="B14" s="5" t="s">
        <v>8</v>
      </c>
      <c r="C14" s="4" t="s">
        <v>8</v>
      </c>
    </row>
    <row r="15" spans="1:3" x14ac:dyDescent="0.3">
      <c r="A15" s="13" t="s">
        <v>70</v>
      </c>
      <c r="B15" s="5" t="s">
        <v>69</v>
      </c>
      <c r="C15" s="4" t="s">
        <v>9</v>
      </c>
    </row>
    <row r="16" spans="1:3" x14ac:dyDescent="0.3">
      <c r="A16" s="13" t="s">
        <v>71</v>
      </c>
      <c r="B16" s="5" t="s">
        <v>11</v>
      </c>
      <c r="C16" s="4" t="s">
        <v>10</v>
      </c>
    </row>
    <row r="17" spans="1:3" x14ac:dyDescent="0.3">
      <c r="A17" s="12" t="s">
        <v>100</v>
      </c>
      <c r="B17" s="3" t="s">
        <v>58</v>
      </c>
      <c r="C17" s="6" t="s">
        <v>58</v>
      </c>
    </row>
    <row r="18" spans="1:3" x14ac:dyDescent="0.3">
      <c r="A18" s="13" t="s">
        <v>101</v>
      </c>
      <c r="B18" s="5" t="str">
        <f>[1]Tabelle1!$B$13</f>
        <v>Default Values</v>
      </c>
      <c r="C18" s="4" t="s">
        <v>14</v>
      </c>
    </row>
    <row r="19" spans="1:3" x14ac:dyDescent="0.3">
      <c r="A19" s="13" t="s">
        <v>95</v>
      </c>
      <c r="B19" s="3" t="s">
        <v>56</v>
      </c>
      <c r="C19" s="4" t="s">
        <v>15</v>
      </c>
    </row>
    <row r="20" spans="1:3" x14ac:dyDescent="0.3">
      <c r="A20" s="13" t="s">
        <v>96</v>
      </c>
      <c r="B20" s="3" t="s">
        <v>57</v>
      </c>
      <c r="C20" s="4" t="s">
        <v>16</v>
      </c>
    </row>
    <row r="21" spans="1:3" x14ac:dyDescent="0.3">
      <c r="A21" s="13" t="s">
        <v>17</v>
      </c>
      <c r="B21" s="5" t="str">
        <f>[1]Tabelle2!$B$13</f>
        <v>CFL 0</v>
      </c>
      <c r="C21" s="4" t="s">
        <v>17</v>
      </c>
    </row>
    <row r="22" spans="1:3" x14ac:dyDescent="0.3">
      <c r="A22" s="13" t="s">
        <v>18</v>
      </c>
      <c r="B22" s="5" t="str">
        <f>[1]Tabelle2!$B$14</f>
        <v>CFL 1</v>
      </c>
      <c r="C22" s="4" t="s">
        <v>18</v>
      </c>
    </row>
    <row r="23" spans="1:3" x14ac:dyDescent="0.3">
      <c r="A23" s="13" t="s">
        <v>19</v>
      </c>
      <c r="B23" s="5" t="str">
        <f>[1]Tabelle2!$B$15</f>
        <v>CFL 2</v>
      </c>
      <c r="C23" s="4" t="s">
        <v>19</v>
      </c>
    </row>
    <row r="24" spans="1:3" x14ac:dyDescent="0.3">
      <c r="A24" s="13" t="s">
        <v>20</v>
      </c>
      <c r="B24" s="5" t="str">
        <f>[1]Tabelle2!$B$16</f>
        <v>CFL 3</v>
      </c>
      <c r="C24" s="4" t="s">
        <v>20</v>
      </c>
    </row>
    <row r="25" spans="1:3" x14ac:dyDescent="0.3">
      <c r="A25" s="13" t="s">
        <v>21</v>
      </c>
      <c r="B25" s="5" t="str">
        <f>[1]Tabelle2!$B$17</f>
        <v>CFL 4</v>
      </c>
      <c r="C25" s="4" t="s">
        <v>21</v>
      </c>
    </row>
    <row r="26" spans="1:3" x14ac:dyDescent="0.3">
      <c r="A26" s="13" t="s">
        <v>22</v>
      </c>
      <c r="B26" s="5" t="str">
        <f>[1]Tabelle2!$B$18</f>
        <v>CFL 5</v>
      </c>
      <c r="C26" s="4" t="s">
        <v>22</v>
      </c>
    </row>
    <row r="27" spans="1:3" x14ac:dyDescent="0.3">
      <c r="A27" s="13" t="s">
        <v>102</v>
      </c>
      <c r="B27" s="5" t="str">
        <f>[1]Tabelle2!$B$19</f>
        <v>Set Default Values</v>
      </c>
      <c r="C27" s="4" t="s">
        <v>23</v>
      </c>
    </row>
    <row r="28" spans="1:3" x14ac:dyDescent="0.3">
      <c r="A28" s="13" t="s">
        <v>103</v>
      </c>
      <c r="B28" s="5" t="str">
        <f>[1]Tabelle2!$B$23</f>
        <v>should never happen</v>
      </c>
      <c r="C28" s="4" t="s">
        <v>24</v>
      </c>
    </row>
    <row r="29" spans="1:3" ht="28.8" x14ac:dyDescent="0.3">
      <c r="A29" s="13" t="s">
        <v>104</v>
      </c>
      <c r="B29" s="5" t="str">
        <f>[1]Tabelle2!B24</f>
        <v>Handling of non-visum files is not implemented</v>
      </c>
      <c r="C29" s="4" t="s">
        <v>25</v>
      </c>
    </row>
    <row r="30" spans="1:3" ht="28.8" x14ac:dyDescent="0.3">
      <c r="A30" s="13" t="s">
        <v>105</v>
      </c>
      <c r="B30" s="5" t="str">
        <f>[1]Tabelle2!B25</f>
        <v>Attribute transferred, new districts imported, Calculations reset</v>
      </c>
      <c r="C30" s="4" t="s">
        <v>26</v>
      </c>
    </row>
    <row r="31" spans="1:3" x14ac:dyDescent="0.3">
      <c r="A31" s="13" t="s">
        <v>83</v>
      </c>
      <c r="B31" s="5" t="str">
        <f>[1]Tabelle2!$B$26</f>
        <v>Calculation Performed</v>
      </c>
      <c r="C31" s="4" t="s">
        <v>27</v>
      </c>
    </row>
    <row r="32" spans="1:3" x14ac:dyDescent="0.3">
      <c r="A32" s="13" t="s">
        <v>89</v>
      </c>
      <c r="B32" s="5" t="str">
        <f>[1]Tabelle2!$B$27</f>
        <v>Data imported</v>
      </c>
      <c r="C32" s="4" t="s">
        <v>28</v>
      </c>
    </row>
    <row r="33" spans="1:3" x14ac:dyDescent="0.3">
      <c r="A33" s="13" t="s">
        <v>106</v>
      </c>
      <c r="B33" s="5" t="str">
        <f>[1]Tabelle2!$B28</f>
        <v>Results deleted, re-import Results to visum if necessary</v>
      </c>
      <c r="C33" s="4" t="s">
        <v>29</v>
      </c>
    </row>
    <row r="34" spans="1:3" x14ac:dyDescent="0.3">
      <c r="A34" s="13" t="s">
        <v>123</v>
      </c>
      <c r="B34" s="5" t="str">
        <f>[1]Tabelle2!$B29</f>
        <v>Network file exported and imported into Visum</v>
      </c>
      <c r="C34" s="4" t="s">
        <v>54</v>
      </c>
    </row>
    <row r="35" spans="1:3" x14ac:dyDescent="0.3">
      <c r="A35" s="13" t="s">
        <v>124</v>
      </c>
      <c r="B35" s="5" t="str">
        <f>[1]Tabelle2!$B30</f>
        <v>Matrix Loaded to Visum</v>
      </c>
      <c r="C35" s="4" t="s">
        <v>55</v>
      </c>
    </row>
    <row r="36" spans="1:3" x14ac:dyDescent="0.3">
      <c r="A36" s="13" t="s">
        <v>125</v>
      </c>
      <c r="B36" s="5" t="str">
        <f>"f'"&amp;[1]Tabelle2!$B31</f>
        <v>f'The combined Results were imported into Visum</v>
      </c>
      <c r="C36" s="4" t="s">
        <v>44</v>
      </c>
    </row>
    <row r="37" spans="1:3" x14ac:dyDescent="0.3">
      <c r="A37" s="13" t="s">
        <v>126</v>
      </c>
      <c r="B37" s="5" t="str">
        <f>[1]Tabelle2!$B32</f>
        <v>Current Settings</v>
      </c>
      <c r="C37" s="4" t="s">
        <v>30</v>
      </c>
    </row>
    <row r="38" spans="1:3" x14ac:dyDescent="0.3">
      <c r="A38" s="13" t="s">
        <v>107</v>
      </c>
      <c r="B38" s="5" t="str">
        <f>[1]Tabelle2!$B33</f>
        <v>Districts: Attr. Centrality</v>
      </c>
      <c r="C38" s="4" t="s">
        <v>31</v>
      </c>
    </row>
    <row r="39" spans="1:3" x14ac:dyDescent="0.3">
      <c r="A39" s="13" t="s">
        <v>108</v>
      </c>
      <c r="B39" s="5" t="str">
        <f>[1]Tabelle2!$B34</f>
        <v>Attr isOrigin</v>
      </c>
      <c r="C39" s="4" t="s">
        <v>32</v>
      </c>
    </row>
    <row r="40" spans="1:3" x14ac:dyDescent="0.3">
      <c r="A40" s="13" t="s">
        <v>109</v>
      </c>
      <c r="B40" s="5" t="str">
        <f>[1]Tabelle2!$B35</f>
        <v>Attr isDestination</v>
      </c>
      <c r="C40" s="4" t="s">
        <v>33</v>
      </c>
    </row>
    <row r="41" spans="1:3" x14ac:dyDescent="0.3">
      <c r="A41" s="13" t="s">
        <v>110</v>
      </c>
      <c r="B41" s="5" t="str">
        <f>[1]Tabelle2!$B36</f>
        <v>Distance calculation</v>
      </c>
      <c r="C41" s="4" t="s">
        <v>34</v>
      </c>
    </row>
    <row r="42" spans="1:3" x14ac:dyDescent="0.3">
      <c r="A42" s="13" t="s">
        <v>111</v>
      </c>
      <c r="B42" s="5" t="str">
        <f>[1]Tabelle2!$B37</f>
        <v>Neighbourhood level per CFL</v>
      </c>
      <c r="C42" s="4" t="s">
        <v>35</v>
      </c>
    </row>
    <row r="43" spans="1:3" x14ac:dyDescent="0.3">
      <c r="A43" s="13" t="s">
        <v>112</v>
      </c>
      <c r="B43" s="5" t="str">
        <f>[1]Tabelle2!$B38</f>
        <v>Number of Suppliers per CFL</v>
      </c>
      <c r="C43" s="4" t="s">
        <v>36</v>
      </c>
    </row>
    <row r="44" spans="1:3" x14ac:dyDescent="0.3">
      <c r="A44" s="13" t="s">
        <v>113</v>
      </c>
      <c r="B44" s="5" t="str">
        <f>[1]Tabelle2!$B39</f>
        <v>District Attribute</v>
      </c>
      <c r="C44" s="4" t="s">
        <v>37</v>
      </c>
    </row>
    <row r="45" spans="1:3" x14ac:dyDescent="0.3">
      <c r="A45" s="13" t="s">
        <v>72</v>
      </c>
      <c r="B45" s="5" t="str">
        <f>[1]Tabelle2!$B40</f>
        <v>Centrality</v>
      </c>
      <c r="C45" s="4" t="s">
        <v>38</v>
      </c>
    </row>
    <row r="46" spans="1:3" x14ac:dyDescent="0.3">
      <c r="A46" s="13" t="s">
        <v>73</v>
      </c>
      <c r="B46" s="5" t="str">
        <f>[1]Tabelle2!$B41</f>
        <v>is Origin</v>
      </c>
      <c r="C46" s="4" t="s">
        <v>39</v>
      </c>
    </row>
    <row r="47" spans="1:3" x14ac:dyDescent="0.3">
      <c r="A47" s="13" t="s">
        <v>74</v>
      </c>
      <c r="B47" s="5" t="str">
        <f>[1]Tabelle2!$B42</f>
        <v>is Destination</v>
      </c>
      <c r="C47" s="4" t="s">
        <v>40</v>
      </c>
    </row>
    <row r="48" spans="1:3" x14ac:dyDescent="0.3">
      <c r="A48" s="13" t="s">
        <v>114</v>
      </c>
      <c r="B48" s="5" t="str">
        <f>[1]Tabelle2!$B43</f>
        <v>Connectivity Function Level</v>
      </c>
      <c r="C48" s="4" t="s">
        <v>41</v>
      </c>
    </row>
    <row r="49" spans="1:3" x14ac:dyDescent="0.3">
      <c r="A49" s="13" t="s">
        <v>115</v>
      </c>
      <c r="B49" s="5" t="str">
        <f>[1]Tabelle2!$B44</f>
        <v>Attribute value CFL</v>
      </c>
      <c r="C49" s="4" t="s">
        <v>42</v>
      </c>
    </row>
    <row r="50" spans="1:3" x14ac:dyDescent="0.3">
      <c r="A50" s="13" t="s">
        <v>75</v>
      </c>
      <c r="B50" s="5" t="str">
        <f>[1]Tabelle2!$B45</f>
        <v>Interchange function</v>
      </c>
      <c r="C50" s="4" t="s">
        <v>43</v>
      </c>
    </row>
    <row r="51" spans="1:3" x14ac:dyDescent="0.3">
      <c r="A51" s="13" t="s">
        <v>116</v>
      </c>
      <c r="B51" s="5" t="str">
        <f>[1]Tabelle2!$B46</f>
        <v>n-Nearest Neighbour</v>
      </c>
      <c r="C51" s="4" t="s">
        <v>45</v>
      </c>
    </row>
    <row r="52" spans="1:3" x14ac:dyDescent="0.3">
      <c r="A52" s="13" t="s">
        <v>117</v>
      </c>
      <c r="B52" s="5" t="str">
        <f>[1]Tabelle2!$B47</f>
        <v>Supply function</v>
      </c>
      <c r="C52" s="4" t="s">
        <v>46</v>
      </c>
    </row>
    <row r="53" spans="1:3" x14ac:dyDescent="0.3">
      <c r="A53" s="13" t="s">
        <v>118</v>
      </c>
      <c r="B53" s="5" t="str">
        <f>"n "&amp;[1]Tabelle2!$B48</f>
        <v>n Supply Centers</v>
      </c>
      <c r="C53" s="4" t="s">
        <v>52</v>
      </c>
    </row>
    <row r="54" spans="1:3" x14ac:dyDescent="0.3">
      <c r="A54" s="13" t="s">
        <v>119</v>
      </c>
      <c r="B54" s="5" t="str">
        <f>[1]Tabelle2!$B49</f>
        <v>Create in Visum as</v>
      </c>
      <c r="C54" s="4" t="s">
        <v>47</v>
      </c>
    </row>
    <row r="55" spans="1:3" x14ac:dyDescent="0.3">
      <c r="A55" s="13" t="s">
        <v>120</v>
      </c>
      <c r="B55" s="5" t="s">
        <v>50</v>
      </c>
      <c r="C55" s="4" t="s">
        <v>48</v>
      </c>
    </row>
    <row r="56" spans="1:3" x14ac:dyDescent="0.3">
      <c r="A56" s="13" t="s">
        <v>121</v>
      </c>
      <c r="B56" s="5" t="s">
        <v>51</v>
      </c>
      <c r="C56" s="4" t="s">
        <v>49</v>
      </c>
    </row>
    <row r="57" spans="1:3" x14ac:dyDescent="0.3">
      <c r="A57" s="13" t="s">
        <v>122</v>
      </c>
      <c r="B57" s="5" t="s">
        <v>66</v>
      </c>
      <c r="C57" s="4" t="s">
        <v>65</v>
      </c>
    </row>
    <row r="58" spans="1:3" x14ac:dyDescent="0.3">
      <c r="A58" s="13" t="s">
        <v>67</v>
      </c>
      <c r="B58" s="7" t="s">
        <v>67</v>
      </c>
      <c r="C58" s="8" t="s">
        <v>67</v>
      </c>
    </row>
    <row r="59" spans="1:3" x14ac:dyDescent="0.3">
      <c r="A59" s="16" t="s">
        <v>68</v>
      </c>
      <c r="B59" s="7" t="s">
        <v>68</v>
      </c>
      <c r="C59" s="8" t="s">
        <v>68</v>
      </c>
    </row>
    <row r="60" spans="1:3" x14ac:dyDescent="0.3">
      <c r="A60" s="16" t="s">
        <v>77</v>
      </c>
      <c r="B60" s="7" t="s">
        <v>78</v>
      </c>
      <c r="C60" s="8" t="s">
        <v>79</v>
      </c>
    </row>
    <row r="61" spans="1:3" x14ac:dyDescent="0.3">
      <c r="A61" s="16" t="s">
        <v>127</v>
      </c>
      <c r="B61" s="7" t="s">
        <v>127</v>
      </c>
      <c r="C61" s="8" t="s">
        <v>130</v>
      </c>
    </row>
    <row r="62" spans="1:3" x14ac:dyDescent="0.3">
      <c r="A62" s="16" t="s">
        <v>128</v>
      </c>
      <c r="B62" s="7" t="s">
        <v>128</v>
      </c>
      <c r="C62" s="8" t="s">
        <v>128</v>
      </c>
    </row>
    <row r="63" spans="1:3" x14ac:dyDescent="0.3">
      <c r="A63" s="16" t="s">
        <v>131</v>
      </c>
      <c r="B63" s="7" t="s">
        <v>131</v>
      </c>
      <c r="C63" s="8" t="s">
        <v>129</v>
      </c>
    </row>
    <row r="64" spans="1:3" x14ac:dyDescent="0.3">
      <c r="A64" s="16" t="s">
        <v>80</v>
      </c>
      <c r="B64" s="7" t="s">
        <v>81</v>
      </c>
      <c r="C64" s="8" t="s">
        <v>82</v>
      </c>
    </row>
    <row r="65" spans="1:4" x14ac:dyDescent="0.3">
      <c r="A65" s="16" t="s">
        <v>132</v>
      </c>
      <c r="B65" s="7" t="s">
        <v>133</v>
      </c>
      <c r="C65" s="8" t="s">
        <v>134</v>
      </c>
    </row>
    <row r="66" spans="1:4" x14ac:dyDescent="0.3">
      <c r="A66" s="16" t="s">
        <v>135</v>
      </c>
      <c r="B66" s="7" t="s">
        <v>136</v>
      </c>
      <c r="C66" s="8" t="s">
        <v>137</v>
      </c>
    </row>
    <row r="67" spans="1:4" x14ac:dyDescent="0.3">
      <c r="A67" s="16" t="s">
        <v>138</v>
      </c>
      <c r="B67" s="7" t="s">
        <v>139</v>
      </c>
      <c r="C67" s="8" t="s">
        <v>140</v>
      </c>
    </row>
    <row r="68" spans="1:4" ht="28.8" x14ac:dyDescent="0.3">
      <c r="A68" s="16" t="s">
        <v>141</v>
      </c>
      <c r="B68" s="7" t="s">
        <v>142</v>
      </c>
      <c r="C68" s="8" t="s">
        <v>143</v>
      </c>
    </row>
    <row r="69" spans="1:4" x14ac:dyDescent="0.3">
      <c r="A69" s="16" t="s">
        <v>144</v>
      </c>
      <c r="B69" s="7" t="s">
        <v>145</v>
      </c>
      <c r="C69" s="8" t="s">
        <v>146</v>
      </c>
    </row>
    <row r="70" spans="1:4" ht="15" thickBot="1" x14ac:dyDescent="0.35">
      <c r="A70" s="16" t="s">
        <v>147</v>
      </c>
      <c r="B70" s="7" t="s">
        <v>148</v>
      </c>
      <c r="C70" s="8" t="s">
        <v>149</v>
      </c>
    </row>
    <row r="71" spans="1:4" ht="15" thickBot="1" x14ac:dyDescent="0.35">
      <c r="A71" s="16" t="s">
        <v>150</v>
      </c>
      <c r="B71" s="7" t="s">
        <v>151</v>
      </c>
      <c r="C71" s="8" t="s">
        <v>152</v>
      </c>
      <c r="D71" s="17"/>
    </row>
    <row r="72" spans="1:4" ht="15" thickBot="1" x14ac:dyDescent="0.35">
      <c r="A72" s="16" t="s">
        <v>153</v>
      </c>
      <c r="B72" s="7" t="s">
        <v>208</v>
      </c>
      <c r="C72" s="8" t="s">
        <v>209</v>
      </c>
      <c r="D72" s="17"/>
    </row>
    <row r="73" spans="1:4" ht="15" thickBot="1" x14ac:dyDescent="0.35">
      <c r="A73" s="16" t="s">
        <v>154</v>
      </c>
      <c r="B73" s="7" t="s">
        <v>155</v>
      </c>
      <c r="C73" s="8" t="s">
        <v>156</v>
      </c>
      <c r="D73" s="17"/>
    </row>
    <row r="74" spans="1:4" ht="15" thickBot="1" x14ac:dyDescent="0.35">
      <c r="A74" s="16" t="s">
        <v>157</v>
      </c>
      <c r="B74" s="7" t="s">
        <v>158</v>
      </c>
      <c r="C74" s="8" t="s">
        <v>159</v>
      </c>
      <c r="D74" s="17"/>
    </row>
    <row r="75" spans="1:4" ht="15" thickBot="1" x14ac:dyDescent="0.35">
      <c r="A75" s="16" t="s">
        <v>160</v>
      </c>
      <c r="B75" s="7" t="s">
        <v>161</v>
      </c>
      <c r="C75" s="8" t="s">
        <v>162</v>
      </c>
      <c r="D75" s="17"/>
    </row>
    <row r="76" spans="1:4" ht="15" thickBot="1" x14ac:dyDescent="0.35">
      <c r="A76" s="16" t="s">
        <v>163</v>
      </c>
      <c r="B76" s="7" t="s">
        <v>164</v>
      </c>
      <c r="C76" s="8" t="s">
        <v>165</v>
      </c>
      <c r="D76" s="17"/>
    </row>
    <row r="77" spans="1:4" ht="15" thickBot="1" x14ac:dyDescent="0.35">
      <c r="A77" s="16" t="s">
        <v>166</v>
      </c>
      <c r="B77" s="7" t="s">
        <v>167</v>
      </c>
      <c r="C77" s="8" t="s">
        <v>149</v>
      </c>
      <c r="D77" s="17"/>
    </row>
    <row r="78" spans="1:4" ht="15" thickBot="1" x14ac:dyDescent="0.35">
      <c r="A78" s="16" t="s">
        <v>168</v>
      </c>
      <c r="B78" s="7" t="s">
        <v>210</v>
      </c>
      <c r="C78" s="8" t="s">
        <v>211</v>
      </c>
      <c r="D78" s="17"/>
    </row>
    <row r="79" spans="1:4" ht="15" thickBot="1" x14ac:dyDescent="0.35">
      <c r="A79" s="16" t="s">
        <v>169</v>
      </c>
      <c r="B79" s="7" t="s">
        <v>170</v>
      </c>
      <c r="C79" s="8" t="s">
        <v>171</v>
      </c>
      <c r="D79" s="17"/>
    </row>
    <row r="80" spans="1:4" ht="15" thickBot="1" x14ac:dyDescent="0.35">
      <c r="A80" s="16" t="s">
        <v>172</v>
      </c>
      <c r="B80" s="7" t="s">
        <v>173</v>
      </c>
      <c r="C80" s="8" t="s">
        <v>174</v>
      </c>
      <c r="D80" s="17"/>
    </row>
    <row r="81" spans="1:4" ht="15" thickBot="1" x14ac:dyDescent="0.35">
      <c r="A81" s="16" t="s">
        <v>132</v>
      </c>
      <c r="B81" s="7" t="s">
        <v>175</v>
      </c>
      <c r="C81" s="8" t="s">
        <v>134</v>
      </c>
      <c r="D81" s="17"/>
    </row>
    <row r="82" spans="1:4" ht="15" thickBot="1" x14ac:dyDescent="0.35">
      <c r="A82" s="16" t="s">
        <v>141</v>
      </c>
      <c r="B82" s="7" t="s">
        <v>212</v>
      </c>
      <c r="C82" s="8" t="s">
        <v>213</v>
      </c>
      <c r="D82" s="17"/>
    </row>
    <row r="83" spans="1:4" ht="15" thickBot="1" x14ac:dyDescent="0.35">
      <c r="A83" s="16" t="s">
        <v>135</v>
      </c>
      <c r="B83" s="7" t="s">
        <v>215</v>
      </c>
      <c r="C83" s="8" t="s">
        <v>214</v>
      </c>
      <c r="D83" s="17"/>
    </row>
    <row r="84" spans="1:4" ht="15" thickBot="1" x14ac:dyDescent="0.35">
      <c r="A84" s="16" t="s">
        <v>216</v>
      </c>
      <c r="B84" s="7" t="s">
        <v>218</v>
      </c>
      <c r="C84" s="8" t="s">
        <v>219</v>
      </c>
      <c r="D84" s="17"/>
    </row>
    <row r="85" spans="1:4" ht="15" thickBot="1" x14ac:dyDescent="0.35">
      <c r="A85" s="16" t="s">
        <v>217</v>
      </c>
      <c r="B85" s="7" t="s">
        <v>220</v>
      </c>
      <c r="C85" s="8" t="s">
        <v>221</v>
      </c>
      <c r="D85" s="17"/>
    </row>
    <row r="86" spans="1:4" ht="15" thickBot="1" x14ac:dyDescent="0.35">
      <c r="A86" s="16" t="s">
        <v>176</v>
      </c>
      <c r="B86" s="7" t="s">
        <v>222</v>
      </c>
      <c r="C86" s="8" t="s">
        <v>223</v>
      </c>
      <c r="D86" s="17"/>
    </row>
    <row r="87" spans="1:4" ht="15" thickBot="1" x14ac:dyDescent="0.35">
      <c r="A87" s="16" t="s">
        <v>177</v>
      </c>
      <c r="B87" s="7" t="s">
        <v>225</v>
      </c>
      <c r="C87" s="8" t="s">
        <v>224</v>
      </c>
      <c r="D87" s="17"/>
    </row>
    <row r="88" spans="1:4" ht="15" thickBot="1" x14ac:dyDescent="0.35">
      <c r="A88" s="16" t="s">
        <v>138</v>
      </c>
      <c r="B88" s="7" t="s">
        <v>139</v>
      </c>
      <c r="C88" s="8" t="s">
        <v>140</v>
      </c>
      <c r="D88" s="17"/>
    </row>
    <row r="89" spans="1:4" ht="15" thickBot="1" x14ac:dyDescent="0.35">
      <c r="A89" s="16" t="s">
        <v>178</v>
      </c>
      <c r="B89" s="7" t="s">
        <v>226</v>
      </c>
      <c r="C89" s="8" t="s">
        <v>227</v>
      </c>
      <c r="D89" s="17"/>
    </row>
    <row r="90" spans="1:4" ht="15" thickBot="1" x14ac:dyDescent="0.35">
      <c r="A90" s="16" t="s">
        <v>232</v>
      </c>
      <c r="B90" s="7" t="s">
        <v>229</v>
      </c>
      <c r="C90" s="8" t="s">
        <v>230</v>
      </c>
      <c r="D90" s="17"/>
    </row>
    <row r="91" spans="1:4" ht="15" thickBot="1" x14ac:dyDescent="0.35">
      <c r="A91" s="16" t="s">
        <v>233</v>
      </c>
      <c r="B91" s="7" t="s">
        <v>228</v>
      </c>
      <c r="C91" s="8" t="s">
        <v>231</v>
      </c>
      <c r="D91" s="17"/>
    </row>
    <row r="92" spans="1:4" ht="15" thickBot="1" x14ac:dyDescent="0.35">
      <c r="A92" s="16" t="s">
        <v>179</v>
      </c>
      <c r="B92" s="7" t="s">
        <v>180</v>
      </c>
      <c r="C92" s="8" t="s">
        <v>181</v>
      </c>
      <c r="D92" s="17"/>
    </row>
    <row r="93" spans="1:4" ht="15" thickBot="1" x14ac:dyDescent="0.35">
      <c r="A93" s="16" t="s">
        <v>182</v>
      </c>
      <c r="B93" s="7" t="s">
        <v>234</v>
      </c>
      <c r="C93" s="8" t="s">
        <v>235</v>
      </c>
      <c r="D93" s="17"/>
    </row>
    <row r="94" spans="1:4" ht="15" thickBot="1" x14ac:dyDescent="0.35">
      <c r="A94" s="16" t="s">
        <v>240</v>
      </c>
      <c r="B94" s="7" t="s">
        <v>238</v>
      </c>
      <c r="C94" s="8" t="s">
        <v>239</v>
      </c>
      <c r="D94" s="17"/>
    </row>
    <row r="95" spans="1:4" ht="15" thickBot="1" x14ac:dyDescent="0.35">
      <c r="A95" s="16" t="s">
        <v>241</v>
      </c>
      <c r="B95" s="7" t="s">
        <v>236</v>
      </c>
      <c r="C95" s="8" t="s">
        <v>237</v>
      </c>
      <c r="D95" s="17"/>
    </row>
    <row r="96" spans="1:4" ht="15" thickBot="1" x14ac:dyDescent="0.35">
      <c r="A96" s="16" t="s">
        <v>246</v>
      </c>
      <c r="B96" s="7" t="s">
        <v>244</v>
      </c>
      <c r="C96" s="8" t="s">
        <v>245</v>
      </c>
      <c r="D96" s="17"/>
    </row>
    <row r="97" spans="1:4" ht="15" thickBot="1" x14ac:dyDescent="0.35">
      <c r="A97" s="16" t="s">
        <v>247</v>
      </c>
      <c r="B97" s="7" t="s">
        <v>242</v>
      </c>
      <c r="C97" s="8" t="s">
        <v>243</v>
      </c>
      <c r="D97" s="17"/>
    </row>
    <row r="98" spans="1:4" ht="15" thickBot="1" x14ac:dyDescent="0.35">
      <c r="A98" s="16" t="s">
        <v>252</v>
      </c>
      <c r="B98" s="7" t="s">
        <v>248</v>
      </c>
      <c r="C98" s="8" t="s">
        <v>248</v>
      </c>
      <c r="D98" s="17"/>
    </row>
    <row r="99" spans="1:4" ht="15" thickBot="1" x14ac:dyDescent="0.35">
      <c r="A99" s="16" t="s">
        <v>251</v>
      </c>
      <c r="B99" s="7" t="s">
        <v>249</v>
      </c>
      <c r="C99" s="8" t="s">
        <v>250</v>
      </c>
      <c r="D99" s="17"/>
    </row>
    <row r="100" spans="1:4" ht="15" thickBot="1" x14ac:dyDescent="0.35">
      <c r="A100" s="16" t="s">
        <v>183</v>
      </c>
      <c r="B100" s="7" t="s">
        <v>184</v>
      </c>
      <c r="C100" s="8" t="s">
        <v>185</v>
      </c>
      <c r="D100" s="17"/>
    </row>
    <row r="101" spans="1:4" ht="15" thickBot="1" x14ac:dyDescent="0.35">
      <c r="A101" s="16" t="s">
        <v>186</v>
      </c>
      <c r="B101" s="7" t="s">
        <v>187</v>
      </c>
      <c r="C101" s="8" t="s">
        <v>188</v>
      </c>
      <c r="D101" s="17"/>
    </row>
    <row r="102" spans="1:4" ht="15" thickBot="1" x14ac:dyDescent="0.35">
      <c r="A102" s="16" t="s">
        <v>189</v>
      </c>
      <c r="B102" s="7" t="s">
        <v>253</v>
      </c>
      <c r="C102" s="8" t="s">
        <v>254</v>
      </c>
      <c r="D102" s="17"/>
    </row>
    <row r="103" spans="1:4" ht="15" thickBot="1" x14ac:dyDescent="0.35">
      <c r="A103" s="16" t="s">
        <v>190</v>
      </c>
      <c r="B103" s="7" t="s">
        <v>253</v>
      </c>
      <c r="C103" s="8" t="s">
        <v>254</v>
      </c>
      <c r="D103" s="17"/>
    </row>
    <row r="104" spans="1:4" ht="29.4" thickBot="1" x14ac:dyDescent="0.35">
      <c r="A104" s="16" t="s">
        <v>191</v>
      </c>
      <c r="B104" s="7" t="s">
        <v>192</v>
      </c>
      <c r="C104" s="8" t="s">
        <v>255</v>
      </c>
      <c r="D104" s="17"/>
    </row>
    <row r="105" spans="1:4" ht="15" thickBot="1" x14ac:dyDescent="0.35">
      <c r="A105" s="16" t="s">
        <v>193</v>
      </c>
      <c r="B105" s="7" t="s">
        <v>194</v>
      </c>
      <c r="C105" s="8" t="s">
        <v>195</v>
      </c>
      <c r="D105" s="17"/>
    </row>
    <row r="106" spans="1:4" ht="15" thickBot="1" x14ac:dyDescent="0.35">
      <c r="A106" s="16" t="s">
        <v>196</v>
      </c>
      <c r="B106" s="7" t="s">
        <v>197</v>
      </c>
      <c r="C106" s="8" t="s">
        <v>198</v>
      </c>
      <c r="D106" s="17"/>
    </row>
    <row r="107" spans="1:4" ht="15" thickBot="1" x14ac:dyDescent="0.35">
      <c r="A107" s="16" t="s">
        <v>199</v>
      </c>
      <c r="B107" s="7" t="s">
        <v>200</v>
      </c>
      <c r="C107" s="8" t="s">
        <v>201</v>
      </c>
      <c r="D107" s="17"/>
    </row>
    <row r="108" spans="1:4" ht="15" thickBot="1" x14ac:dyDescent="0.35">
      <c r="A108" s="16" t="s">
        <v>260</v>
      </c>
      <c r="B108" s="7" t="s">
        <v>256</v>
      </c>
      <c r="C108" s="8" t="s">
        <v>258</v>
      </c>
      <c r="D108" s="17"/>
    </row>
    <row r="109" spans="1:4" ht="15" thickBot="1" x14ac:dyDescent="0.35">
      <c r="A109" s="16" t="s">
        <v>261</v>
      </c>
      <c r="B109" s="7" t="s">
        <v>257</v>
      </c>
      <c r="C109" s="8" t="s">
        <v>259</v>
      </c>
      <c r="D109" s="17"/>
    </row>
    <row r="110" spans="1:4" x14ac:dyDescent="0.3">
      <c r="A110" s="16" t="s">
        <v>204</v>
      </c>
      <c r="B110" s="7" t="s">
        <v>203</v>
      </c>
      <c r="C110" s="8" t="s">
        <v>202</v>
      </c>
    </row>
    <row r="111" spans="1:4" x14ac:dyDescent="0.3">
      <c r="A111" s="16" t="s">
        <v>205</v>
      </c>
      <c r="B111" s="7" t="s">
        <v>205</v>
      </c>
      <c r="C111" s="8" t="s">
        <v>31</v>
      </c>
    </row>
    <row r="112" spans="1:4" ht="15" thickBot="1" x14ac:dyDescent="0.35">
      <c r="A112" s="14" t="s">
        <v>206</v>
      </c>
      <c r="B112" s="9" t="s">
        <v>206</v>
      </c>
      <c r="C112" s="10" t="s">
        <v>207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5A47E4-7E25-406B-B1A4-40088B716B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Ahmed Mokhtar Mahfouz</dc:creator>
  <cp:lastModifiedBy>ALI</cp:lastModifiedBy>
  <dcterms:created xsi:type="dcterms:W3CDTF">2025-05-22T12:30:53Z</dcterms:created>
  <dcterms:modified xsi:type="dcterms:W3CDTF">2025-09-01T11:46:06Z</dcterms:modified>
</cp:coreProperties>
</file>